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sheet9.xml" ContentType="application/vnd.openxmlformats-officedocument.spreadsheetml.worksheet+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2.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Budget vs Actual" sheetId="2" state="visible" r:id="rId4"/>
    <sheet name="Contingency Explained" sheetId="3" state="visible" r:id="rId5"/>
    <sheet name="Contingency Drawdown" sheetId="4" state="visible" r:id="rId6"/>
    <sheet name="Scope View" sheetId="5" state="visible" r:id="rId7"/>
    <sheet name="Invoicing Schedule" sheetId="6" state="visible" r:id="rId8"/>
    <sheet name="Invoice Register" sheetId="7" state="visible" r:id="rId9"/>
    <sheet name="Cost Lines" sheetId="8" state="visible" r:id="rId10"/>
    <sheet name="TP Account" sheetId="9" state="visible" r:id="rId11"/>
    <sheet name="TP Spend by Item" sheetId="10" state="visible" r:id="rId12"/>
    <sheet name="TP Line Items" sheetId="11" state="visible" r:id="rId13"/>
    <sheet name="Skip Hire Log" sheetId="12" state="visible" r:id="rId14"/>
    <sheet name="Materials Receipts" sheetId="13" state="visible" r:id="rId15"/>
  </sheets>
  <definedNames>
    <definedName function="false" hidden="true" localSheetId="3" name="_xlnm._FilterDatabase" vbProcedure="false">'Contingency Drawdown'!$A$7:$L$45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<sst xmlns="http://schemas.openxmlformats.org/spreadsheetml/2006/main" count="2459" uniqueCount="1215">
  <si>
    <t xml:space="preserve">Spinney External Works — Budget Summary</t>
  </si>
  <si>
    <t xml:space="preserve">Last updated:</t>
  </si>
  <si>
    <t xml:space="preserve">All figures gross (as payable). Invoiced / Paid pull automatically from the Invoice Register; Contingency remaining pulls from the Drawdown sheet.</t>
  </si>
  <si>
    <t xml:space="preserve">Cost centre</t>
  </si>
  <si>
    <t xml:space="preserve">Supplier</t>
  </si>
  <si>
    <t xml:space="preserve">Committed £</t>
  </si>
  <si>
    <t xml:space="preserve">Invoiced £</t>
  </si>
  <si>
    <t xml:space="preserve">Paid £</t>
  </si>
  <si>
    <t xml:space="preserve">Remaining vs committed £</t>
  </si>
  <si>
    <t xml:space="preserve">Notes</t>
  </si>
  <si>
    <t xml:space="preserve">Decking materials (V4)</t>
  </si>
  <si>
    <t xml:space="preserve">V4 Wood Flooring Ltd</t>
  </si>
  <si>
    <t xml:space="preserve">Order amended to all Ashwood + flexible bullnose (1 Jul). PAID IN FULL 9 Jul, ref V4FQ-15584. 25% restocking on over-ordering — unlikely given curved design + offcuts project, but noted. A separate, later V4 order (£5,322.74, quote #QUO-0031, 29 Sep) for the expanded shed-area/fence-move decking scope is tracked under Contingency (named purpose #24), not here — see that sheet.</t>
  </si>
  <si>
    <t xml:space="preserve">Decking labour</t>
  </si>
  <si>
    <t xml:space="preserve">LG Building and Roofing Ltd</t>
  </si>
  <si>
    <t xml:space="preserve">Labour £17,600 (no VAT). Stage 1 (£4,400) invoiced/paid 20 Aug, full price. Two cash instalments since (£2,000 each, 4 Sep + 18 Sep) — 10% discount applies to both, retiring £2,222.22 of quoted value each. £8,400 cash paid to date, equivalent to £8,844.44 of quoted value — £8,755.56 quoted value remaining. Rubbish removal (£1,200) transferred 10 Aug to pooled skip fund — see that row, not double-counted here. The separate extra labour for the curves and additional deck (INV-0293, £1,850, 9 Oct) sits under Contingency, not here; it does not change the £8,755.56 remaining.</t>
  </si>
  <si>
    <t xml:space="preserve">Contingency</t>
  </si>
  <si>
    <t xml:space="preserve">—</t>
  </si>
  <si>
    <t xml:space="preserve">Covers: fence move/repair labour; soakaway fix before decking; drainage by garage; extra curved-decking labour; cement &amp; bricks; coping condensation-prep (£250, PAID 14 Aug via bank transfer, INV-0288). Luke's labour drawn from this pot attracts the 10% discount (extended 20 Jul) — note the condensation-prep item was paid by bank transfer, not cash, so discount doesn't apply there. See Contingency Drawdown sheet. NEW 29 Sep — named purpose #24: V4 materials for the expanded shed-area/fence-move decking scope, £5,322.74, PAID by phone. This single draw alone takes Contingency well over the £5,000 cap — flagged, not hidden, same treatment as the Rubbish removal pooled overage. NEW 3 Oct — named purposes #25–#30: six further TP invoices (£1,093.57). The £500 paid to TP on 11 Sep cleared #5 (£108.14), £247.01 of #6 and £144.85 of Luke's invoices for other jobs (not project spend — netted off in the agreed TP settlement). TP account SETTLED: £2,313.89 paid by card 5 Oct, Luke repaid £144.85 on 6 Oct (net £2,169.04). See TP Account tab. NEW 9 Oct — LG INV-0293 £1,850 (curves £800 = purpose #4; additional deck £1,050 = purpose #32), paid by bank transfer. PENDING, not yet drawn: additional lead work ~£200 (purpose #31, Luke's estimate 2 Oct, not started) — to come from Contingency once invoiced. Luke's further extended-deck labour is not yet agreed or logged. NEW 13 Oct — named purpose #33: Toolstation saw blades and drill bits £84.97 (bought by Luke on his card, repaid in cash 13 Oct). PENDING, not yet drawn: whole-house soft wash £1,200 cash (Gorgeous Cleaning Services, purpose #34, from Mon 19 Oct). NEW 17 Oct — LG INV-0294 (£1,350, no VAT, paid by bank transfer): £350 driveway channel (named purpose #35, new scope 'Driveway channel') + £1,000 extra decking labour (named purpose #36). Still PENDING, not yet drawn: whole-house soft wash £1,200 cash (purpose #34, from Mon 19 Oct), lead work ~£200 (purpose #31, work done 16 Oct, awaiting invoice) and V4 screw top-up #3, now invoiced at £47.22 and unpaid (purpose #15, replaces the £141.66 estimate). NEW 20 Oct — named purpose #37: pipe lagging for the outside tap/pipework, £177.58 (Buy Insulation Online, paid by Ryan's card; scope Shared / site-wide). NEW 22 Oct — named purpose #38: V4 QUO-0040 £1,268 (materials to complete the decking substructure, delivered Mon 19 Oct, paid by card 22 Oct). The soft wash (#34) was completed and paid in cash (£1,200) on Mon 19 Oct. Also to be drawn from Contingency, no estimates yet: Revolutional Electrical (cables under the decking for the new shed area and the extended-deck lighting; call-out charge 22 Oct), the new shed (still to be ordered) and three new grates by the side of the house (extra work).</t>
  </si>
  <si>
    <t xml:space="preserve">Chimney repair</t>
  </si>
  <si>
    <t xml:space="preserve">Quoted 2 Jun: £3,200 labour (invoiced full price, INV-0286) + £1,500 scaffold share. Cowl upgrade (£62.90) and TP account materials reclassified out 17 Aug — see Contingency and Materials (pooled) rows. This is now a clean quote-vs-actual labour figure.</t>
  </si>
  <si>
    <t xml:space="preserve">Coping stones repair</t>
  </si>
  <si>
    <t xml:space="preserve">Quoted 3 Jun: £3,800 labour, confirmed 7 Aug as £3,610 blended (50% cash @10% disc. + 50% invoiced) + £1,700 scaffold share. Condensation-prep (£276.42) and TP account materials share (£277.29) reclassified out — see Contingency and Materials (pooled) rows. RISK: coping-stone damage on removal could substantially increase cost.</t>
  </si>
  <si>
    <t xml:space="preserve">Materials (pooled)</t>
  </si>
  <si>
    <t xml:space="preserve">Merchant trade accounts</t>
  </si>
  <si>
    <t xml:space="preserve">Pooled chimney (£480) + coping (£650) materials budget — decision 20 Jul. Purchased via merchant trade accounts (Dry Lining Supplies, Travis Perkins etc.), cleared on receipts. Detail on Materials Receipts sheet.</t>
  </si>
  <si>
    <t xml:space="preserve">Rubbish removal (pooled skips)</t>
  </si>
  <si>
    <t xml:space="preserve">Skip Hire Comparison Ltd / future providers</t>
  </si>
  <si>
    <t xml:space="preserve">Transferred 10 Aug from chimney/coping/decking rubbish-removal quotes (£80+£80+£1,200). Original skip (Skip Hire Comparison Ltd) cancelled 11 Aug, refunded — replaced same-day by Elmbridge Mini Skips (2 skips, £780 total, settled 12 Aug). Provisional — more skips expected, especially during decking. Detail on Skip Hire Log sheet. £40 Roofline works rubbish removal is expected but not yet incurred — not counted above; if incurred the pool would be £140 over.</t>
  </si>
  <si>
    <t xml:space="preserve">Roofline works</t>
  </si>
  <si>
    <t xml:space="preserve">Own scope, own budget (estimate 4 Sep, £2,140 — unchanged; started 29 Sep, all roofline works complete Fri 16 Oct, including the lead flashing) — gutter replacement, fascia/soffit extension, slate replacement, barge board trim. Replaces the earlier 'gutters included in Luke's price' arrangement (back-gutter realignment and front gutters/tile repairs): on 4 Oct Gantt tasks 1.5, 1.7 and 3.2 were merged into one 'Roofline works' task (1.5). The estimate has no front-of-house gutters, and front tile repairs are covered by 'replace various broken slates'. Budget £2,100 = £1,600 labour (no VAT) + £150 scaffold tower + £350 materials; the £40 rubbish removal in the quote sits in the pooled Rubbish removal fund (not yet incurred). The tower was not needed (Luke used his own ladder) and that £150 benefit offsets the £40.40 of additional materials: net £109.60 under budget. LABOUR: INV-0291 £1,600 (2 Oct) confirmed correct and PAID 3 Oct by bank transfer, full price. MATERIALS: Graham SI19670857 £256.78 (£260 cash, paid 29 Sep); Graham SI19687572 £9.74 + TFP 0001458493 £78.01 (£90 cash) and TFP 0001458792 £40.40 (all paid in cash 2 Oct). This row shows £1,984.93 (invoices only); Cost Lines and Budget vs Actual use £1,990.40 actual, which includes £5.47 of coin top-ups. Additional lead work (~£200, Gantt task 1.5a, part of Gate 2) is outside this budget — see Contingency.</t>
  </si>
  <si>
    <t xml:space="preserve">Core project (Luke's ~£56,800 outline)</t>
  </si>
  <si>
    <t xml:space="preserve">Chimney + coping incl. pooled materials</t>
  </si>
  <si>
    <t xml:space="preserve">PROJECT TOTAL</t>
  </si>
  <si>
    <t xml:space="preserve">Contingency remaining:</t>
  </si>
  <si>
    <t xml:space="preserve">Cost centre = which budget pays · Scope = what it was for (see Scope View tab) · 'Decking materials (V4)' = V4 orders only; Travis Perkins and other decking-related materials sit in Contingency.</t>
  </si>
  <si>
    <t xml:space="preserve">Decking labour — quoted-value position (10% cash discount applied)</t>
  </si>
  <si>
    <t xml:space="preserve">Quoted labour, stages 1–4</t>
  </si>
  <si>
    <t xml:space="preserve">Luke's quote for the main decking labour.</t>
  </si>
  <si>
    <t xml:space="preserve">Quoted value covered to date</t>
  </si>
  <si>
    <t xml:space="preserve">Bank payments at face value; cash payments ÷ 0.9 because of the 10% cash discount (e.g. £2,000 cash covers £2,222.22 of quoted value).</t>
  </si>
  <si>
    <t xml:space="preserve">Quoted value REMAINING</t>
  </si>
  <si>
    <t xml:space="preserve">This is the figure to use. It matches Luke's own workings (£8,756). The 'Remaining' column above (£9,200) is a plain cash subtraction, and the older tracker view that showed £11,200 pre-dated the 18 Sep instalment.</t>
  </si>
  <si>
    <t xml:space="preserve">Spinney External Works — Budget vs Actual</t>
  </si>
  <si>
    <t xml:space="preserve">Snapshot as of 22 Oct 2026 (Week 13) — refresh narrative each batched update session; table figures pull from Summary sheet.</t>
  </si>
  <si>
    <t xml:space="preserve">Snapshot</t>
  </si>
  <si>
    <t xml:space="preserve">Week 13 — Contingency is well over cap: £16,659.97 drawn and paid against the £5,000 pot (£11,659.97 over). The main driver is the £5,322.74 V4 materials order for the expanded shed-area/fence-move decking scope (named purpose #24, paid by card 29 Sep). Since the last update, the whole-house soft wash by Gorgeous Cleaning Services (£1,200 cash) was completed and paid on Mon 19 Oct, pipe lagging for the outside tap/pipework (£177.58, Buy Insulation Online, paid by Ryan's card 20 Oct) was drawn from Contingency, and LG INV-0294 (£1,350, paid by bank transfer 17 Oct) added £350 for the driveway channel (half a day, Luke and Max) and £1,000 of extra decking labour. Nothing is invoiced but unpaid in the Register. Still to come from Contingency: the ~£200 additional lead work (done 16 Oct, awaiting invoice) and the V4 screw top-up #3, now invoiced at £47.22 and unpaid. The further V4 delivery to complete the decking substructure (QUO-0040, £1,268) arrived Mon 19 Oct and was paid by card on 22 Oct. Also to come from Contingency, with no estimates yet: Revolutional Electrical's cabling and extended-deck lighting (call-out charge 22 Oct), the new shed (still to be ordered) and three new grates by the side of the house (extra work). The total as spent/committed is now £2,251.06 over the overall budget. Chimney and coping are complete and settled. All roofline works were completed Fri 16 Oct, including the lead flashing.</t>
  </si>
  <si>
    <t xml:space="preserve">• Chimney</t>
  </si>
  <si>
    <t xml:space="preserve">COMPLETE (Gate 1, 18 Aug) — £0 variance, labour invoiced at the full quoted £3,200, no discount applied (non-cash terms).</t>
  </si>
  <si>
    <t xml:space="preserve">• Coping</t>
  </si>
  <si>
    <t xml:space="preserve">COMPLETE (Gate 1, 18 Aug) — £190 UNDER quote, half the labour was settled in cash at the agreed 10% discount, the other half invoiced at full price.</t>
  </si>
  <si>
    <t xml:space="preserve">• Decking (labour + V4 materials)</t>
  </si>
  <si>
    <t xml:space="preserve">Materials fully paid to the V4 proforma exactly (£32,228.99 — unchanged; the new £5,322.74 V4 order sits under Contingency, see below, not here). Labour: Stage 1 (£4,400) invoiced full price, plus two £2,000 cash instalments (4 Sep, 18 Sep, 10% discount each) — £8,844.44 quoted-value equivalent paid so far, £8,755.56 remaining across future stages.</t>
  </si>
  <si>
    <t xml:space="preserve">• Scaffold (pooled, chimney + coping combined)</t>
  </si>
  <si>
    <t xml:space="preserve">£0 variance — this was never split-quoted per workstream, just one £3,200 job (£2,000 paid on erection, £1,200 due on strike). Treating it as its own pooled line avoids implying a false per-workstream comparison.</t>
  </si>
  <si>
    <t xml:space="preserve">• Materials (pooled, chimney + coping)</t>
  </si>
  <si>
    <t xml:space="preserve">Back under the £1,130 cap — a £72.23 refund from Dry Lining Supplies (unused monocouche + other returned items) landed 19 Aug, more than offsetting the earlier £62.90 overage from pooling Luke's Travis Perkins account purchases.</t>
  </si>
  <si>
    <t xml:space="preserve">• Rubbish removal (pooled, all 3 workstreams)</t>
  </si>
  <si>
    <t xml:space="preserve">£1,460 spent against the £1,360 pool — £100 over. That is £780 for the two Elmbridge skips plus £680 for the old decking substructure wood collection, which was charged per trip and came in well above the £350 estimate. The skips and wood removal served chimney, coping and the soakaway/decking-prep groundworks, so the spend can't be attributed cleanly to one workstream. A further £40 for the Roofline works rubbish removal is expected but not yet incurred; if it is, the pool would be £140 over. Flagged, not hidden.</t>
  </si>
  <si>
    <t xml:space="preserve">• Roofline works (new)</t>
  </si>
  <si>
    <t xml:space="preserve">£1,600 labour + £150 scaffold tower + £350 materials = £2,100 budget (quote £2,140 unchanged; the £40 rubbish removal sits in the pooled fund). Started 29 Sep, all roofline works completed Fri 16 Oct, including the lead flashing. Labour INV-0291 (£1,600) paid 3 Oct by bank transfer. The tower was not needed — Luke used his ladder — and that £150 benefit offsets £40.40 of additional materials (four invoices, £390.40 cash, all reimbursed to Luke): net £109.60 under budget, actual £1,990.40. Additional lead work (~£200) will come from Contingency.</t>
  </si>
  <si>
    <t xml:space="preserve">• Contingency</t>
  </si>
  <si>
    <t xml:space="preserve">£16,659.97 drawn and PAID against the £5,000 pot — £11,659.97 OVER CAP. Main driver: £5,322.74 V4 materials order (purpose #24, paid 29 Sep). Travis Perkins invoices were settled 5 Oct, LG INV-0293 (£1,850) was paid 9 Oct, whole-house soft wash (£1,200 cash, purpose #34, 19 Oct), Toolstation tools (£84.97, purpose #33) were repaid 13 Oct and LG INV-0294 (£1,350: driveway channel £350 + extra decking labour £1,000) was paid 17 Oct and pipe lagging (£177.58, purpose #37) on 20 Oct, and V4 QUO-0040 (£1,268, purpose #38) on 22 Oct. Flagged, not hidden. Pending, not yet drawn: ~£200 additional lead work (purpose #31) and V4 screw top-up #3 (£47.22 invoiced, unpaid).</t>
  </si>
  <si>
    <t xml:space="preserve">Budget vs Actual — detail</t>
  </si>
  <si>
    <t xml:space="preserve">Quote / Budget £</t>
  </si>
  <si>
    <t xml:space="preserve">Actual £</t>
  </si>
  <si>
    <t xml:space="preserve">Variance £</t>
  </si>
  <si>
    <t xml:space="preserve">Note</t>
  </si>
  <si>
    <t xml:space="preserve">Chimney (labour)</t>
  </si>
  <si>
    <t xml:space="preserve">Invoiced full price (INV-0286) — non-cash, no discount</t>
  </si>
  <si>
    <t xml:space="preserve">Coping (labour)</t>
  </si>
  <si>
    <t xml:space="preserve">50% cash @10% disc. + 50% invoiced — favourable</t>
  </si>
  <si>
    <t xml:space="preserve">Decking (labour)</t>
  </si>
  <si>
    <t xml:space="preserve">Stage 1 (£4,400 invoiced) + two £2,000 cash instalments (4 Sep, 18 Sep, 10% discount each) — £8,844.44 quoted value retired, £8,755.56 remaining, mix of future cash/invoice TBC.</t>
  </si>
  <si>
    <t xml:space="preserve">Proforma matched exactly, paid in full 9 Jul</t>
  </si>
  <si>
    <t xml:space="preserve">Scaffold (pooled, chimney+coping)</t>
  </si>
  <si>
    <t xml:space="preserve">Never split-quoted — one combined job. £2,000 paid, £1,200 due on strike</t>
  </si>
  <si>
    <t xml:space="preserve">Materials (pooled, chimney+coping)</t>
  </si>
  <si>
    <t xml:space="preserve">Back under the £1,130 cap after a £72.23 refund from Dry Lining Supplies (unused monocouche + other returned items) landed 19 Aug — was £62.92 over before the refund.</t>
  </si>
  <si>
    <t xml:space="preserve">Rubbish removal (pooled, all 3 workstreams)</t>
  </si>
  <si>
    <t xml:space="preserve">£100 OVER the £1,360 cap — the wood removal correction (£350 est. → £680 actual, charged per trip) pushed it over. Flagged, not hidden; cap left as-is per the same approach used for Materials pooled. Plus £40 expected (Roofline works rubbish removal, not yet incurred) — not counted above; if incurred the pool would be £140 over.</t>
  </si>
  <si>
    <t xml:space="preserve">Roofline works (new, 4 Sep estimate)</t>
  </si>
  <si>
    <t xml:space="preserve">Quote £2,140 (4 Sep) unchanged = £2,100 here + £40 rubbish removal in the pooled fund (not yet incurred). Started 29 Sep, all roofline works completed Fri 16 Oct, including the lead flashing. The £150 scaffold tower was not needed (Luke used his ladder) — that benefit offsets the £40.40 of additional materials (£390.40 cash vs £350 allowance), net £109.60 under. ACTUAL £1,990.40 = £1,600 labour (INV-0291, paid 3 Oct by bank transfer) + £390.40 materials (paid in cash). Additional lead work (~£200) sits in Contingency.</t>
  </si>
  <si>
    <t xml:space="preserve">£16,659.97 drawn and PAID against the £5,000 pot, which is £11,659.97 over. Main driver: the £5,322.74 V4 materials order for the extended deck / shed area (named purpose #24, paid by phone 29 Sep), larger than the whole pot on its own. Travis Perkins settled 5 Oct; LG INV-0293 paid 9 Oct; Toolstation tools repaid 13 Oct; LG INV-0294 (£1,350 — driveway channel £350, extra decking labour £1,000) paid 17 Oct; pipe lagging (£177.58) paid 20 Oct; V4 QUO-0040 (£1,268) paid 22 Oct. The £1,200 whole-house soft wash was paid in cash on 19 Oct. Still to come: electrics, the new shed and three new grates, with no estimates yet. See the Contingency explained tab. Flagged, not hidden — same treatment as the Rubbish removal overage.</t>
  </si>
  <si>
    <t xml:space="preserve">TOTAL (as spent/committed to date)</t>
  </si>
  <si>
    <t xml:space="preserve">Reconciliation check</t>
  </si>
  <si>
    <t xml:space="preserve">Summary's PROJECT TOTAL uses each cost centre's committed/ceiling figure — for Chimney, Coping, and Decking that's the real actual; for Materials, Rubbish, and Contingency (all pooled/reserve buckets) it's the provisional cap, not what's been spent so far. Recomputed on that same basis below to confirm nothing here is missing or double-counted against Summary.</t>
  </si>
  <si>
    <t xml:space="preserve">  Chimney (actual)</t>
  </si>
  <si>
    <t xml:space="preserve">  Coping (actual)</t>
  </si>
  <si>
    <t xml:space="preserve">  Decking labour (actual)</t>
  </si>
  <si>
    <t xml:space="preserve">  Decking materials (actual)</t>
  </si>
  <si>
    <t xml:space="preserve">  Materials pooled (at £1,130 cap, per Summary)</t>
  </si>
  <si>
    <t xml:space="preserve">  Rubbish removal pooled (at £1,360 cap, per Summary)</t>
  </si>
  <si>
    <t xml:space="preserve">  Contingency (at £5,000 cap, per Summary)</t>
  </si>
  <si>
    <t xml:space="preserve">  Roofline works (actual, per estimate)</t>
  </si>
  <si>
    <t xml:space="preserve">Recomputed total (Summary basis)</t>
  </si>
  <si>
    <t xml:space="preserve">Summary PROJECT TOTAL (committed)</t>
  </si>
  <si>
    <t xml:space="preserve">Difference — should be £0.00</t>
  </si>
  <si>
    <t xml:space="preserve">Contingency explained — why the £5,000 pot has been exceeded</t>
  </si>
  <si>
    <t xml:space="preserve">As at 22 Oct 2026. Amounts inc VAT. Pulls live from the Contingency Drawdown, Summary and Cost Lines tabs. Scope tags on Travis Perkins invoices are inferred from invoice dates (confirm with Luke).</t>
  </si>
  <si>
    <t xml:space="preserve">1. The headline</t>
  </si>
  <si>
    <t xml:space="preserve">Pot agreed 1 Jul</t>
  </si>
  <si>
    <t xml:space="preserve">Agreed for: fence move/repair labour, soakaway fix before decking (cancelled 1 Sep, nothing drawn), drainage by the garage (nothing drawn), additional curved-decking labour, cement and bricks.</t>
  </si>
  <si>
    <t xml:space="preserve">Drawn (invoiced)</t>
  </si>
  <si>
    <t xml:space="preserve">Every Contingency invoice in the Invoice Register, paid or not.</t>
  </si>
  <si>
    <t xml:space="preserve">   of which paid</t>
  </si>
  <si>
    <t xml:space="preserve">   of which invoiced, not yet paid</t>
  </si>
  <si>
    <t xml:space="preserve">Nothing outstanding in the Register: the Travis Perkins invoices were settled on 5 Oct, LG INV-0293 was paid on 9 Oct and LG INV-0294 was paid on 17 Oct and the pipe lagging on 20 Oct V4 QUO-0040 on 22 Oct and the soft wash (cash) on 19 Oct.</t>
  </si>
  <si>
    <t xml:space="preserve">OVER THE POT BY</t>
  </si>
  <si>
    <t xml:space="preserve">2. Where the money went</t>
  </si>
  <si>
    <t xml:space="preserve">Driver</t>
  </si>
  <si>
    <t xml:space="preserve">£</t>
  </si>
  <si>
    <t xml:space="preserve">Share</t>
  </si>
  <si>
    <t xml:space="preserve">On the 1 Jul list?</t>
  </si>
  <si>
    <t xml:space="preserve">What is in it</t>
  </si>
  <si>
    <t xml:space="preserve">Extended deck &amp; shed base</t>
  </si>
  <si>
    <t xml:space="preserve">No — arose later</t>
  </si>
  <si>
    <t xml:space="preserve">The new decking area the fence move opened up, plus the shed base: V4 materials order, extra digging, extra frame and the first Travis Perkins blocks and cement for it. Also the £1,050 additional deck labour on LG INV-0293. Includes the £1,000 extra decking labour on LG INV-0294 (17 Oct). Includes the £1,268 V4 QUO-0040 order (22 Oct).</t>
  </si>
  <si>
    <t xml:space="preserve">Main deck materials</t>
  </si>
  <si>
    <t xml:space="preserve">Partly — 'cement and bricks'</t>
  </si>
  <si>
    <t xml:space="preserve">Travis Perkins bulk materials for the original decking (cement, ballast, sand, blocks, ply, small tools) plus V4 subframe screw top-ups. Luke's quote has materials paid directly, so they had to land somewhere. Also the £800 curved-deck labour on LG INV-0293.</t>
  </si>
  <si>
    <t xml:space="preserve">Groundworks hire</t>
  </si>
  <si>
    <t xml:space="preserve">No</t>
  </si>
  <si>
    <t xml:space="preserve">Digger, dumper and clean-up. Used for both the main deck widening and the new shed area, so not split between them.</t>
  </si>
  <si>
    <t xml:space="preserve">Fence relocation</t>
  </si>
  <si>
    <t xml:space="preserve">Yes — fence move</t>
  </si>
  <si>
    <t xml:space="preserve">Fence move labour (chimney side, boundary reclaim) and the fence materials.</t>
  </si>
  <si>
    <t xml:space="preserve">Chimney &amp; coping extras, shared items</t>
  </si>
  <si>
    <t xml:space="preserve">Coping condensation-prep, chimney cowl upgrade, and one shared small-consumables invoice. Also the pipe lagging for the outside tap/pipework (£177.58, 20 Oct). Also the whole-house soft wash (£1,200 cash, 19 Oct).</t>
  </si>
  <si>
    <t xml:space="preserve">Driveway channel</t>
  </si>
  <si>
    <t xml:space="preserve">Water-softener waste channel (rainy-day task, Gantt 3.1), done in half a day on 14 Oct by Luke and Max, £350 on LG INV-0294.</t>
  </si>
  <si>
    <t xml:space="preserve">New shed &amp; electrics</t>
  </si>
  <si>
    <t xml:space="preserve">Workstream 8: the new shed, its installation and the electrics (first fix done 22 Oct; call-out charge not yet invoiced). Nothing drawn yet; costs to come, no estimates.</t>
  </si>
  <si>
    <t xml:space="preserve">TOTAL DRAWN</t>
  </si>
  <si>
    <t xml:space="preserve">Check: total less Summary 'Invoiced' (must be 0.00)</t>
  </si>
  <si>
    <t xml:space="preserve">3. Inside the drivers</t>
  </si>
  <si>
    <t xml:space="preserve">Line</t>
  </si>
  <si>
    <t xml:space="preserve">Purpose #</t>
  </si>
  <si>
    <t xml:space="preserve">Source</t>
  </si>
  <si>
    <t xml:space="preserve">V4 order — shed area / extended deck materials</t>
  </si>
  <si>
    <t xml:space="preserve">#24</t>
  </si>
  <si>
    <t xml:space="preserve">Placed and paid by phone 29 Sep (quote QUO-0031).</t>
  </si>
  <si>
    <t xml:space="preserve">Extra digging — wider gate area + shed/additional deck</t>
  </si>
  <si>
    <t xml:space="preserve">#11</t>
  </si>
  <si>
    <t xml:space="preserve">Invoiced and paid 11 Sep.</t>
  </si>
  <si>
    <t xml:space="preserve">Extra frame — wider deck gate area</t>
  </si>
  <si>
    <t xml:space="preserve">#14</t>
  </si>
  <si>
    <t xml:space="preserve">Travis Perkins blocks and cement dated 21 Sep</t>
  </si>
  <si>
    <t xml:space="preserve">#29, #30</t>
  </si>
  <si>
    <t xml:space="preserve">Two invoices, paid 5 Oct.</t>
  </si>
  <si>
    <t xml:space="preserve">Extra deck labour — additional deck (LG INV-0293)</t>
  </si>
  <si>
    <t xml:space="preserve">#32</t>
  </si>
  <si>
    <t xml:space="preserve">Invoiced and paid 9 Oct (£1,050, bank transfer).</t>
  </si>
  <si>
    <t xml:space="preserve">Extra decking labour (LG INV-0294)</t>
  </si>
  <si>
    <t xml:space="preserve">#36</t>
  </si>
  <si>
    <t xml:space="preserve">Invoiced and paid 17 Oct (£1,000, bank transfer).</t>
  </si>
  <si>
    <t xml:space="preserve">V4 order — materials to complete the substructure (QUO-0040)</t>
  </si>
  <si>
    <t xml:space="preserve">#38</t>
  </si>
  <si>
    <t xml:space="preserve">Delivered Mon 19 Oct; paid by card 22 Oct (£1,268). Some Plas-Pro may be used on the main decking.</t>
  </si>
  <si>
    <t xml:space="preserve">Extended deck &amp; shed base — subtotal</t>
  </si>
  <si>
    <t xml:space="preserve">Check against section 2 (must be 0.00)</t>
  </si>
  <si>
    <t xml:space="preserve">Travis Perkins bulk materials, main deck</t>
  </si>
  <si>
    <t xml:space="preserve">#16–#22, #25–#27</t>
  </si>
  <si>
    <t xml:space="preserve">Invoices dated before 21 Sep.</t>
  </si>
  <si>
    <t xml:space="preserve">V4 subframe screw top-ups</t>
  </si>
  <si>
    <t xml:space="preserve">#8, #9</t>
  </si>
  <si>
    <t xml:space="preserve">Two top-ups of 15 boxes.</t>
  </si>
  <si>
    <t xml:space="preserve">Curved-decking labour (LG INV-0293)</t>
  </si>
  <si>
    <t xml:space="preserve">#4</t>
  </si>
  <si>
    <t xml:space="preserve">Invoiced and paid 9 Oct (£800 of the £1,000 agreed 24 Sep).</t>
  </si>
  <si>
    <t xml:space="preserve">Saw blades and drill bits (Toolstation)</t>
  </si>
  <si>
    <t xml:space="preserve">#33</t>
  </si>
  <si>
    <t xml:space="preserve">Bought by Luke on his card 6 Oct; repaid in cash 13 Oct. Tagged Main deck, used throughout.</t>
  </si>
  <si>
    <t xml:space="preserve">Digger hire</t>
  </si>
  <si>
    <t xml:space="preserve">#10</t>
  </si>
  <si>
    <t xml:space="preserve">3–8 Sep, on Luke's TP account.</t>
  </si>
  <si>
    <t xml:space="preserve">Dumper hire</t>
  </si>
  <si>
    <t xml:space="preserve">#28</t>
  </si>
  <si>
    <t xml:space="preserve">2–8 Sep, on Luke's TP account.</t>
  </si>
  <si>
    <t xml:space="preserve">Clean-up + small tree dig</t>
  </si>
  <si>
    <t xml:space="preserve">#12</t>
  </si>
  <si>
    <t xml:space="preserve">Fence move labour</t>
  </si>
  <si>
    <t xml:space="preserve">#13</t>
  </si>
  <si>
    <t xml:space="preserve">Chimney side / side (a) boundary. Paid 11 Sep.</t>
  </si>
  <si>
    <t xml:space="preserve">Fence materials</t>
  </si>
  <si>
    <t xml:space="preserve">#23</t>
  </si>
  <si>
    <t xml:space="preserve">Travis Perkins invoice 1051142985.</t>
  </si>
  <si>
    <t xml:space="preserve">4. Would the pot have held for what it was set up for?</t>
  </si>
  <si>
    <t xml:space="preserve">Item</t>
  </si>
  <si>
    <t xml:space="preserve">Drawn on the 1 Jul purposes so far (fence + TP main-deck materials)</t>
  </si>
  <si>
    <t xml:space="preserve">Fence relocation plus 'cement and bricks'.</t>
  </si>
  <si>
    <t xml:space="preserve">Plus: curved-decking labour (#4) — invoiced 9 Oct</t>
  </si>
  <si>
    <t xml:space="preserve">Agreed 24 Sep at £1,000 full price / £900 cash; Luke invoiced £800 on INV-0293.</t>
  </si>
  <si>
    <t xml:space="preserve">Total for the originally intended purposes</t>
  </si>
  <si>
    <t xml:space="preserve">Pot</t>
  </si>
  <si>
    <t xml:space="preserve">Headroom if only the original purposes had been drawn</t>
  </si>
  <si>
    <t xml:space="preserve">The pot would have held, with room to spare.</t>
  </si>
  <si>
    <t xml:space="preserve">Everything else drawn (not on the 1 Jul list)</t>
  </si>
  <si>
    <t xml:space="preserve">New scope, hire, screw top-ups, chimney/coping extras and the additional deck labour (£1,050). Also Luke's saw blades and drill bits (£84.97). Also the 17 Oct LG INV-0294 (£1,350: driveway channel £350 and extra decking labour £1,000). Also the pipe lagging (£177.58, 20 Oct). Also V4 QUO-0040 (£1,268, 22 Oct). Also the £1,200 soft wash (19 Oct).</t>
  </si>
  <si>
    <t xml:space="preserve">5. How the pot was used up</t>
  </si>
  <si>
    <t xml:space="preserve">Point in time</t>
  </si>
  <si>
    <t xml:space="preserve">£ drawn</t>
  </si>
  <si>
    <t xml:space="preserve">vs pot</t>
  </si>
  <si>
    <t xml:space="preserve">Tracker view on 24 Sep (before the V4 order and the TP paper copies)</t>
  </si>
  <si>
    <t xml:space="preserve">86% of the pot — it looked on track.</t>
  </si>
  <si>
    <t xml:space="preserve">On invoice dates, by 11 Sep</t>
  </si>
  <si>
    <t xml:space="preserve">The pot was already used up by the extra digging, fence move and fence materials — before the V4 order, but not yet visible because Travis Perkins invoices were still being gathered.</t>
  </si>
  <si>
    <t xml:space="preserve">After the V4 order, 29 Sep</t>
  </si>
  <si>
    <t xml:space="preserve">The single biggest step.</t>
  </si>
  <si>
    <t xml:space="preserve">After the TP paper copies were added, 3 Oct</t>
  </si>
  <si>
    <t xml:space="preserve">Six more TP invoices (£1,093.57) added once Luke supplied the paper copies.</t>
  </si>
  <si>
    <t xml:space="preserve">After INV-0293 (curves and additional deck), 9 Oct</t>
  </si>
  <si>
    <t xml:space="preserve">The invoice for the extra curved and additional decking work (£1,850), paid 9 Oct. Travis Perkins was settled 5 Oct without changing the drawn figure.</t>
  </si>
  <si>
    <t xml:space="preserve">After the Toolstation saw blades, 13 Oct</t>
  </si>
  <si>
    <t xml:space="preserve">Luke's saw blades and drill bits (£84.97), repaid in cash 13 Oct.</t>
  </si>
  <si>
    <t xml:space="preserve">After LG INV-0294 (driveway channel and extra decking), 17 Oct</t>
  </si>
  <si>
    <t xml:space="preserve">£350 driveway channel plus £1,000 extra decking labour, paid 17 Oct by bank transfer.</t>
  </si>
  <si>
    <t xml:space="preserve">After the soft wash was paid, 19 Oct</t>
  </si>
  <si>
    <t xml:space="preserve">Whole-house soft wash (£1,200), paid in cash on the day.</t>
  </si>
  <si>
    <t xml:space="preserve">After the pipe lagging order, 20 Oct</t>
  </si>
  <si>
    <t xml:space="preserve">Pipe lagging for the outside tap/pipework (£177.58), paid by Ryan's card 20 Oct.</t>
  </si>
  <si>
    <t xml:space="preserve">After V4 QUO-0040, 22 Oct</t>
  </si>
  <si>
    <t xml:space="preserve">V4 materials to complete the decking substructure (£1,268), paid by card 22 Oct.</t>
  </si>
  <si>
    <t xml:space="preserve">6. Not yet in the figure</t>
  </si>
  <si>
    <t xml:space="preserve">Status</t>
  </si>
  <si>
    <t xml:space="preserve">Curved decking labour (#4) — resolved</t>
  </si>
  <si>
    <t xml:space="preserve">Invoiced 9 Oct</t>
  </si>
  <si>
    <t xml:space="preserve">Agreed £1,000; INV-0293 billed £800, so nothing pending. The other £200 is not expected unless Luke bills it later.</t>
  </si>
  <si>
    <t xml:space="preserve">Additional lead work (#31, Gantt task 1.5a)</t>
  </si>
  <si>
    <t xml:space="preserve">Work complete 16 Oct, awaiting invoice</t>
  </si>
  <si>
    <t xml:space="preserve">Part of Gate 2 — lead flashing finished Fri 16 Oct. Luke has not yet invoiced the ~£200 estimate.</t>
  </si>
  <si>
    <t xml:space="preserve">V4 subframe screw top-up #3 (#15)</t>
  </si>
  <si>
    <t xml:space="preserve">Invoiced, unpaid (due 12 Oct)</t>
  </si>
  <si>
    <t xml:space="preserve">V4 invoice #336484, £47.22 for additional screws. Replaces the earlier £141.66 estimate. Logged in Cost Lines only until paid.</t>
  </si>
  <si>
    <t xml:space="preserve">Whole-house soft wash (#34, Gorgeous Cleaning Services)</t>
  </si>
  <si>
    <t xml:space="preserve">Paid 19 Oct (cash)</t>
  </si>
  <si>
    <t xml:space="preserve">£1,200 cash, from Contingency; completed and paid Mon 19 Oct. Now in the drawn figure, so nothing pending.</t>
  </si>
  <si>
    <t xml:space="preserve">Known pending</t>
  </si>
  <si>
    <t xml:space="preserve">Luke's extended-deck labour still to come — low (3.5 days x £700, less £1,000 invoiced 17 Oct)</t>
  </si>
  <si>
    <t xml:space="preserve">Not agreed or logged</t>
  </si>
  <si>
    <t xml:space="preserve">From Luke's 2 Oct figures (2 people x 1 day = £700) and his 5–6 day estimate, less the 1.5 days invoiced as the £1,050 additional deck on INV-0293 and the £1,000 extra decking labour on INV-0294 (my arithmetic: £1,000 counted against the same estimate; Luke has not confirmed this).</t>
  </si>
  <si>
    <t xml:space="preserve">Luke's extended-deck labour still to come — high (4.5 days x £700, less £1,000 invoiced 17 Oct)</t>
  </si>
  <si>
    <t xml:space="preserve">Same basis as above, at the top of his 5–6 day range.</t>
  </si>
  <si>
    <t xml:space="preserve">Illustrative drawn if all of the above land in Contingency — low</t>
  </si>
  <si>
    <t xml:space="preserve">Depends on how Luke invoices the extended deck.</t>
  </si>
  <si>
    <t xml:space="preserve">Illustrative drawn if all of the above land in Contingency — high</t>
  </si>
  <si>
    <t xml:space="preserve">7. Scope added after the project began — and where each piece sits</t>
  </si>
  <si>
    <t xml:space="preserve">Where it sits</t>
  </si>
  <si>
    <t xml:space="preserve">Extended deck &amp; shed base, and the fence relocation</t>
  </si>
  <si>
    <t xml:space="preserve">Not on the 1 Jul list.</t>
  </si>
  <si>
    <t xml:space="preserve">Roofline works — budget</t>
  </si>
  <si>
    <t xml:space="preserve">Own budget line (not Contingency)</t>
  </si>
  <si>
    <t xml:space="preserve">The £2,140 quote (4 Sep) is £2,100 here plus £40 rubbish removal, which sits in the pooled skips fund.</t>
  </si>
  <si>
    <t xml:space="preserve">Roofline works — invoiced and paid to date</t>
  </si>
  <si>
    <t xml:space="preserve">Own budget line</t>
  </si>
  <si>
    <t xml:space="preserve">Labour INV-0291 plus four materials invoices.</t>
  </si>
  <si>
    <t xml:space="preserve">Roofline works: the roofline works quote was also unseen at the start of the project. Although it now has its own budget line, it was not part of the original scope. It is kept out of Contingency, so it is not in the drawn figure above — but, like the extended deck, it is a later addition to the project.</t>
  </si>
  <si>
    <t xml:space="preserve">Contingency Drawdown — £5,000 pot (agreed Lara/Luke, 1 Jul 2026)</t>
  </si>
  <si>
    <t xml:space="preserve">One row per named purpose (#1–#38), sorted by purpose number. Drawn and Paid come from the Invoice Register (matched on its 'Named purpose #' column); Pending comes from Cost Lines. Sort or filter freely: 'pot remaining' is worked out from the invoice dates, so it stays correct in any order. Travis Perkins invoices were settled on 5 Oct (net £2,169.04 after Luke's 6 Oct repayment — see TP Account).</t>
  </si>
  <si>
    <t xml:space="preserve">Opening pot:</t>
  </si>
  <si>
    <t xml:space="preserve">Remaining:</t>
  </si>
  <si>
    <t xml:space="preserve">Drawn:</t>
  </si>
  <si>
    <t xml:space="preserve">Paid:</t>
  </si>
  <si>
    <t xml:space="preserve">Pending:</t>
  </si>
  <si>
    <t xml:space="preserve">Check vs Register (must be 0.00):</t>
  </si>
  <si>
    <t xml:space="preserve">Named purpose #</t>
  </si>
  <si>
    <t xml:space="preserve">Invoice date</t>
  </si>
  <si>
    <t xml:space="preserve">Purpose</t>
  </si>
  <si>
    <t xml:space="preserve">Supplier / detail</t>
  </si>
  <si>
    <t xml:space="preserve">Drawn £</t>
  </si>
  <si>
    <t xml:space="preserve">Unpaid £</t>
  </si>
  <si>
    <t xml:space="preserve">Pending (not yet drawn) £</t>
  </si>
  <si>
    <t xml:space="preserve">Scope</t>
  </si>
  <si>
    <t xml:space="preserve">Pot remaining at this invoice date £</t>
  </si>
  <si>
    <t xml:space="preserve">Fence move / repair labour</t>
  </si>
  <si>
    <t xml:space="preserve">Luke (LG Building and Roofing)</t>
  </si>
  <si>
    <t xml:space="preserve">Superseded by #13</t>
  </si>
  <si>
    <t xml:space="preserve">On the 1 Jul list. Superseded by #13 (fence move, chimney side).</t>
  </si>
  <si>
    <t xml:space="preserve">Soakaway fix before decking</t>
  </si>
  <si>
    <t xml:space="preserve">Cancelled 1 Sep</t>
  </si>
  <si>
    <t xml:space="preserve">On the 1 Jul list. CANCELLED 1 Sep — cost-benefit not worth it. Nothing drawn.</t>
  </si>
  <si>
    <t xml:space="preserve">Drainage by the garage</t>
  </si>
  <si>
    <t xml:space="preserve">Nothing drawn</t>
  </si>
  <si>
    <t xml:space="preserve">On the 1 Jul list. Nothing drawn.</t>
  </si>
  <si>
    <t xml:space="preserve">Additional curved-decking labour</t>
  </si>
  <si>
    <t xml:space="preserve">Main deck</t>
  </si>
  <si>
    <t xml:space="preserve">On the 1 Jul list. AGREED 24 Sep at £1,000 full price / £900 cash. INVOICED 9 Oct: £800 on INV-0293 (the curves), paid the same day by bank transfer — Luke billed £800, not the £1,000 agreed. The other £200 is not expected unless Luke bills it.</t>
  </si>
  <si>
    <t xml:space="preserve">Cement &amp; bricks</t>
  </si>
  <si>
    <t xml:space="preserve">Covered by #16–#30</t>
  </si>
  <si>
    <t xml:space="preserve">On the 1 Jul list. Actual draws are recorded under the specific Travis Perkins purposes #16–#30.</t>
  </si>
  <si>
    <t xml:space="preserve">Coping condensation-prep (labour + DPC roll)</t>
  </si>
  <si>
    <t xml:space="preserve">LG Building and Roofing Ltd — INV-0288; LG Building and Roofing Ltd (Travis Perkins account) — TP invoice 1048887075</t>
  </si>
  <si>
    <t xml:space="preserve">Chimney &amp; coping</t>
  </si>
  <si>
    <t xml:space="preserve">Labour £250 (INV-0288, 14 Aug) + Damplas DPC roll £26.42 (17 Aug).</t>
  </si>
  <si>
    <t xml:space="preserve">Chimney cowl upgrade — stainless steel</t>
  </si>
  <si>
    <t xml:space="preserve">StoveWorldUK — Order #147399</t>
  </si>
  <si>
    <t xml:space="preserve">V4 subframe screw top-up</t>
  </si>
  <si>
    <t xml:space="preserve">V4 Wood Flooring Ltd — V4FQ-17702</t>
  </si>
  <si>
    <t xml:space="preserve">15 boxes of structural subframe screws.</t>
  </si>
  <si>
    <t xml:space="preserve">V4 subframe screw top-up #2</t>
  </si>
  <si>
    <t xml:space="preserve">V4 Wood Flooring Ltd — TBC</t>
  </si>
  <si>
    <t xml:space="preserve">15 boxes of structural subframe screws. Paid 10 Sep.</t>
  </si>
  <si>
    <t xml:space="preserve">Travis Perkins Hire (Luke's account) — 1051011143</t>
  </si>
  <si>
    <t xml:space="preserve">Groundworks (digger &amp; dumper)</t>
  </si>
  <si>
    <t xml:space="preserve">3–8 Sep, Travis Perkins Hire. Actual invoice £378.58 replaced the £530 estimate; no barrow loader charge appears on the invoice (flagged, not assumed).</t>
  </si>
  <si>
    <t xml:space="preserve">LG Building and Roofing Ltd (cash)</t>
  </si>
  <si>
    <t xml:space="preserve">Part of Luke's 11 Sep extras invoice (£2,350 quoted, £2,115 paid after the 10% cash discount).</t>
  </si>
  <si>
    <t xml:space="preserve">Part of Luke's 11 Sep extras invoice.</t>
  </si>
  <si>
    <t xml:space="preserve">Fence move — chimney side / side (a) boundary reclaim</t>
  </si>
  <si>
    <t xml:space="preserve">Part of Luke's 11 Sep extras invoice. Supersedes #1.</t>
  </si>
  <si>
    <t xml:space="preserve">V4 subframe screw top-up #3</t>
  </si>
  <si>
    <t xml:space="preserve">Invoiced, unpaid (£47.22)</t>
  </si>
  <si>
    <t xml:space="preserve">V4 invoice #336484, £47.22, due 12 Oct, 'additional screws' — received but STILL UNPAID (17 Oct). Replaces the earlier £141.66 / 15-box estimate. Logged in Cost Lines only until paid.</t>
  </si>
  <si>
    <t xml:space="preserve">TP materials — cement, blade</t>
  </si>
  <si>
    <t xml:space="preserve">Travis Perkins (Luke's account) — 1049651867</t>
  </si>
  <si>
    <t xml:space="preserve">Travis Perkins invoice 1049651867.</t>
  </si>
  <si>
    <t xml:space="preserve">TP materials — plywood, drill bit, screws, gloves</t>
  </si>
  <si>
    <t xml:space="preserve">Travis Perkins (Luke's account) — 1049757851</t>
  </si>
  <si>
    <t xml:space="preserve">Travis Perkins invoice 1049757851.</t>
  </si>
  <si>
    <t xml:space="preserve">TP materials — ballast, cement, blocks, pallet deposit</t>
  </si>
  <si>
    <t xml:space="preserve">Travis Perkins (Luke's account) — 1049844268</t>
  </si>
  <si>
    <t xml:space="preserve">Travis Perkins invoice 1049844268. Includes a £30.30 REFUNDABLE pallet deposit (not a final cost).</t>
  </si>
  <si>
    <t xml:space="preserve">TP materials — flat packers</t>
  </si>
  <si>
    <t xml:space="preserve">Travis Perkins (Luke's account) — 1049844267</t>
  </si>
  <si>
    <t xml:space="preserve">Travis Perkins invoice 1049844267.</t>
  </si>
  <si>
    <t xml:space="preserve">TP materials — plywood, line marker</t>
  </si>
  <si>
    <t xml:space="preserve">Travis Perkins (Luke's account) — 1050903283</t>
  </si>
  <si>
    <t xml:space="preserve">Travis Perkins invoice 1050903283.</t>
  </si>
  <si>
    <t xml:space="preserve">TP materials — ballast, cement</t>
  </si>
  <si>
    <t xml:space="preserve">Travis Perkins (Luke's account) — 1051072869</t>
  </si>
  <si>
    <t xml:space="preserve">Travis Perkins invoice 1051072869.</t>
  </si>
  <si>
    <t xml:space="preserve">TP materials — gloves, woodscrews</t>
  </si>
  <si>
    <t xml:space="preserve">Travis Perkins (Luke's account) — 1051162218</t>
  </si>
  <si>
    <t xml:space="preserve">Shared / site-wide</t>
  </si>
  <si>
    <t xml:space="preserve">Travis Perkins invoice 1051162218.</t>
  </si>
  <si>
    <t xml:space="preserve">TP fence materials — posts, Postcrete, rail brackets, pegs, timber</t>
  </si>
  <si>
    <t xml:space="preserve">Travis Perkins (Luke's account) — 1051142985</t>
  </si>
  <si>
    <t xml:space="preserve">V4 materials — shed area / extended deck</t>
  </si>
  <si>
    <t xml:space="preserve">V4 Wood Flooring Ltd — QUO-0031</t>
  </si>
  <si>
    <t xml:space="preserve">Quote QUO-0031, placed and paid by phone 29 Sep. On its own larger than the whole pot.</t>
  </si>
  <si>
    <t xml:space="preserve">TP materials — sand, white cement, Bosch blade</t>
  </si>
  <si>
    <t xml:space="preserve">Travis Perkins (Luke's account) — 1049231418</t>
  </si>
  <si>
    <t xml:space="preserve">Travis Perkins invoice 1049231418. Paid from the £500 TP receipt of 11 Sep.</t>
  </si>
  <si>
    <t xml:space="preserve">TP materials — ballast, building sand, 72 blocks</t>
  </si>
  <si>
    <t xml:space="preserve">Travis Perkins (Luke's account) — 1049595624</t>
  </si>
  <si>
    <t xml:space="preserve">Travis Perkins invoice 1049595624. £247.01 paid from the £500 receipt; £100.11 balance paid by card 5 Oct.</t>
  </si>
  <si>
    <t xml:space="preserve">TP materials — ballast x2, Mastercrete x10</t>
  </si>
  <si>
    <t xml:space="preserve">Travis Perkins (Luke's account) — 1050655200</t>
  </si>
  <si>
    <t xml:space="preserve">Travis Perkins invoice 1050655200.</t>
  </si>
  <si>
    <t xml:space="preserve">TP plant hire — tracked dumper</t>
  </si>
  <si>
    <t xml:space="preserve">Travis Perkins Hire (Luke's account) — 1051287675</t>
  </si>
  <si>
    <t xml:space="preserve">2–8 Sep, Travis Perkins invoice 1051287675.</t>
  </si>
  <si>
    <t xml:space="preserve">TP materials — blocks, cement, mallet, line marker</t>
  </si>
  <si>
    <t xml:space="preserve">Travis Perkins (Luke's account) — 1051688095</t>
  </si>
  <si>
    <t xml:space="preserve">Travis Perkins invoice 1051688095.</t>
  </si>
  <si>
    <t xml:space="preserve">TP materials — 20 blocks</t>
  </si>
  <si>
    <t xml:space="preserve">Travis Perkins (Luke's account) — 1051708772</t>
  </si>
  <si>
    <t xml:space="preserve">Travis Perkins invoice 1051708772.</t>
  </si>
  <si>
    <t xml:space="preserve">Additional lead work — back-of-house gutters</t>
  </si>
  <si>
    <t xml:space="preserve">Roofline</t>
  </si>
  <si>
    <t xml:space="preserve">Gantt task 1.5a, part of Gate 2. Chase lead into the walls so the gutters work properly. Luke's estimate about £200 (2 Oct), work completed Fri 16 Oct (lead flashing confirmed included); awaiting Luke's invoice.</t>
  </si>
  <si>
    <t xml:space="preserve">Additional deck labour — extended deck &amp; shed base</t>
  </si>
  <si>
    <t xml:space="preserve">Luke (LG Building and Roofing) — INV-0293</t>
  </si>
  <si>
    <t xml:space="preserve">Part of LG INV-0293 (£1,850, 9 Oct): the £1,050 for the additional deck. The other £800 is the curves (#4). Paid 9 Oct by bank transfer. Separate from the £17,600 main decking labour draws.</t>
  </si>
  <si>
    <t xml:space="preserve">Saw blades and drill bits — Toolstation</t>
  </si>
  <si>
    <t xml:space="preserve">Toolstation Ltd — YAC545477716 (bought by Luke)</t>
  </si>
  <si>
    <t xml:space="preserve">Freud mitre saw blade, ROKTOR drill bits, DeWalt circular saw blade (£84.97). Luke paid by card 6 Oct; repaid in cash 13 Oct. Scope Main deck, although the tools will be used throughout the project.</t>
  </si>
  <si>
    <t xml:space="preserve">Whole-house soft wash — Gorgeous Cleaning Services</t>
  </si>
  <si>
    <t xml:space="preserve">Gorgeous Cleaning Services</t>
  </si>
  <si>
    <t xml:space="preserve">£1,200 cash, from Contingency, paid Mon 19 Oct. Gutters, soffits, roof tiles, roof solar panels, render, windows etc. Started and finished that day. Replaces the chimney + coping-only soft wash.</t>
  </si>
  <si>
    <t xml:space="preserve">Driveway channel — water-softener waste</t>
  </si>
  <si>
    <t xml:space="preserve">Luke (LG Building and Roofing) — INV-0294</t>
  </si>
  <si>
    <t xml:space="preserve">Half a day, Luke and Max, 14 Oct (Gantt 3.1). Water-softener discharge connected to natural drainage; cobbles reinstated; discharge confirmed working. £350 of LG INV-0294 (£1,350), paid 17 Oct by bank transfer.</t>
  </si>
  <si>
    <t xml:space="preserve">Extra decking labour — extended deck &amp; shed base</t>
  </si>
  <si>
    <t xml:space="preserve">£1,000 of LG INV-0294 (£1,350), paid 17 Oct by bank transfer. Extra decking labour as discussed. No further extended-deck labour agreed yet.</t>
  </si>
  <si>
    <t xml:space="preserve">Pipe lagging — outside tap/pipework</t>
  </si>
  <si>
    <t xml:space="preserve">Buy Insulation Online — INV842429677</t>
  </si>
  <si>
    <t xml:space="preserve">7 x Stornch outdoor pipe insulation (£177.58 inc VAT), paid by Ryan's card 20 Oct. For the outside tap/pipework (Gantt 2.4, Gate 3). Scope site-wide (main deck).</t>
  </si>
  <si>
    <t xml:space="preserve">V4 materials to complete the decking substructure</t>
  </si>
  <si>
    <t xml:space="preserve">V4 Wood Flooring Ltd — QUO-0040</t>
  </si>
  <si>
    <t xml:space="preserve">Delivered Mon 19 Oct; paid by card 22 Oct (£1,268). Some of the Plas-Pro will likely be used on the main decking.</t>
  </si>
  <si>
    <t xml:space="preserve">Scope View — what the money was for</t>
  </si>
  <si>
    <t xml:space="preserve">Cost centre = which budget pays; Scope = what it was for. Source: the Scope column on the Invoice Register. Amounts invoiced, inc VAT. Scope tags on Travis Perkins invoices are INFERRED: Luke's 2 Oct update says only 1 day (2 people) has been spent on the extended deck so far, so only TP invoices from 21 Sep are treated as extended; earlier ones are main deck. Digger/dumper hire served both and is not split. Confirm with Luke. LG INV-0293 (9 Oct) is split: £800 curves (Main deck) and £1,050 additional deck (Extended deck &amp; shed base). Toolstation saw blades (13 Oct, £84.97) are tagged Main deck although used throughout. LG INV-0294 (17 Oct) is split: £350 driveway channel (new scope, Driveway channel) and £1,000 extra decking labour (Extended deck &amp; shed base). Pipe lagging (20 Oct, £177.58) is tagged Shared / site-wide (main deck). V4 QUO-0040 (22 Oct, £1,268) is tagged Extended deck &amp; shed base, though some Plas-Pro will likely be used on the main decking. New scope "New shed &amp; electrics" (workstream 8) covers the shed, its installation and the electrics; nothing invoiced against it yet.</t>
  </si>
  <si>
    <t xml:space="preserve">A. Invoiced by scope and cost centre</t>
  </si>
  <si>
    <t xml:space="preserve">Total invoiced £</t>
  </si>
  <si>
    <t xml:space="preserve">Total paid £</t>
  </si>
  <si>
    <t xml:space="preserve">TOTAL</t>
  </si>
  <si>
    <t xml:space="preserve">Summary 'Invoiced £' (same cost centre)</t>
  </si>
  <si>
    <t xml:space="preserve">Check: difference (must be 0.00)</t>
  </si>
  <si>
    <t xml:space="preserve">B. Headlines</t>
  </si>
  <si>
    <t xml:space="preserve">Main deck — invoiced to date</t>
  </si>
  <si>
    <t xml:space="preserve">Original V4 order, decking labour, V4 screw top-ups, TP materials invoiced before 21 Sep, old-deck waste removal.</t>
  </si>
  <si>
    <t xml:space="preserve">Extended deck &amp; shed base + Fence relocation — invoiced</t>
  </si>
  <si>
    <t xml:space="preserve">New area enabled by the fence move: V4 order #24, extra digging/frame labour, TP materials from 21 Sep, fence materials and labour.</t>
  </si>
  <si>
    <t xml:space="preserve">Groundworks — shared by both projects</t>
  </si>
  <si>
    <t xml:space="preserve">Digger and dumper hire, clean-up and small tree dig — used for the main deck widening and the new shed area, not split.</t>
  </si>
  <si>
    <t xml:space="preserve">Shared / site-wide (skips, small consumables)</t>
  </si>
  <si>
    <t xml:space="preserve">Pooled skip hire and consumables that cannot be split between projects.</t>
  </si>
  <si>
    <t xml:space="preserve">Driveway channel — invoiced</t>
  </si>
  <si>
    <t xml:space="preserve">Water-softener waste channel (Gantt 3.1), a rainy-day task done on 14 Oct: half a day, Luke and Max, £350 on LG INV-0294. Drawn from Contingency.</t>
  </si>
  <si>
    <t xml:space="preserve">New shed &amp; electrics — invoiced</t>
  </si>
  <si>
    <t xml:space="preserve">Workstream 8: the new shed, its installation and the electrics (first fix done 22 Oct; final fix to follow). Nothing invoiced yet; drawn from Contingency. Earlier substructure spend stays under Extended deck &amp; shed base.</t>
  </si>
  <si>
    <t xml:space="preserve">C. Contingency by scope — Register vs Contingency Drawdown</t>
  </si>
  <si>
    <t xml:space="preserve">Invoice Register £</t>
  </si>
  <si>
    <t xml:space="preserve">Drawdown sheet £</t>
  </si>
  <si>
    <t xml:space="preserve">Difference £</t>
  </si>
  <si>
    <t xml:space="preserve">Check: Register total vs Summary Contingency 'Invoiced £' (must be 0.00)</t>
  </si>
  <si>
    <t xml:space="preserve">D. Travis Perkins spend by scope (from TP Line Items)</t>
  </si>
  <si>
    <t xml:space="preserve">TP spend £</t>
  </si>
  <si>
    <t xml:space="preserve">Share of TP spend</t>
  </si>
  <si>
    <t xml:space="preserve">Check: TP Account total invoiced less this total (must be 0.00)</t>
  </si>
  <si>
    <t xml:space="preserve">E. Pending — not yet invoiced (logged in Cost Lines only)</t>
  </si>
  <si>
    <t xml:space="preserve">Amount £</t>
  </si>
  <si>
    <t xml:space="preserve">Additional curved-decking labour (purpose #4)</t>
  </si>
  <si>
    <t xml:space="preserve">Invoiced 9 Oct (INV-0293, £800) and paid — no longer pending. £1,000 was agreed on 24 Sep; the other £200 is not expected unless Luke bills it.</t>
  </si>
  <si>
    <t xml:space="preserve">Additional lead work (purpose #31)</t>
  </si>
  <si>
    <t xml:space="preserve">Luke's estimate 2 Oct; work completed Fri 16 Oct (lead flashing included); awaiting his invoice.</t>
  </si>
  <si>
    <t xml:space="preserve">Whole-house soft wash (purpose #34)</t>
  </si>
  <si>
    <t xml:space="preserve">Paid in cash Mon 19 Oct — no longer pending.</t>
  </si>
  <si>
    <t xml:space="preserve">TOTAL pending</t>
  </si>
  <si>
    <t xml:space="preserve">Luke's remaining extended-deck labour (about 2.1–3.1 days still to come, roughly £1,450–£2,150 on my arithmetic after the £1,000 on INV-0294) is NOT logged until agreed.</t>
  </si>
  <si>
    <t xml:space="preserve">Invoicing Schedule — expected invoice events</t>
  </si>
  <si>
    <t xml:space="preserve">Terms: 10% labour discount on all Luke phases except decking labour and scaffolding. Chimney &amp; coping settle as SINGLE CASH PAYMENTS on phase completion (agreed Lara/Ryan 20 Jul; TBC with Luke 21 Jul). Log every payment on the Invoice Register — this sheet is expectations, the Register is the record.</t>
  </si>
  <si>
    <t xml:space="preserve">#</t>
  </si>
  <si>
    <t xml:space="preserve">Trigger event</t>
  </si>
  <si>
    <t xml:space="preserve">Payee</t>
  </si>
  <si>
    <t xml:space="preserve">Basis</t>
  </si>
  <si>
    <t xml:space="preserve">Est. £</t>
  </si>
  <si>
    <t xml:space="preserve">Order placed — PAID IN FULL 9 Jul</t>
  </si>
  <si>
    <t xml:space="preserve">Invoice V4FQ-15584</t>
  </si>
  <si>
    <t xml:space="preserve">Paid</t>
  </si>
  <si>
    <t xml:space="preserve">Chimney + Coping (scaffold)</t>
  </si>
  <si>
    <t xml:space="preserve">Erection complete (17–18 Jul) — PAID</t>
  </si>
  <si>
    <t xml:space="preserve">Scaffolder (via Trevor)</t>
  </si>
  <si>
    <t xml:space="preserve">£2,000 cash (of £3,200 combined)</t>
  </si>
  <si>
    <t xml:space="preserve">Logged in Register: £937.50 chimney + £1,062.50 coping</t>
  </si>
  <si>
    <t xml:space="preserve">Strike, after Gate 1 sign-off</t>
  </si>
  <si>
    <t xml:space="preserve">£1,200 cash balance on strike</t>
  </si>
  <si>
    <t xml:space="preserve">Agreed</t>
  </si>
  <si>
    <t xml:space="preserve">Log in Register: £562.50 chimney + £637.50 coping</t>
  </si>
  <si>
    <t xml:space="preserve">INVOICED &amp; PAID 24 Jul (non-cash)</t>
  </si>
  <si>
    <t xml:space="preserve">£3,200 labour less £111.70 prepaid = £3,088.30. Full price — no discount.</t>
  </si>
  <si>
    <t xml:space="preserve">£3,200 labour invoiced &amp; paid 24 Jul (£3,088.30 after £111.70 prepayment deduction). Rubbish removal (£80) transferred 10 Aug to pooled skip fund — no longer owed to Luke.</t>
  </si>
  <si>
    <t xml:space="preserve">50% CASH — PAID 7 Aug</t>
  </si>
  <si>
    <t xml:space="preserve">50% of base labour (£1,710.00), 10% cash discount. Based on original £3,800 quote only.</t>
  </si>
  <si>
    <t xml:space="preserve">Excludes condensation-prep addition — price not yet finalised (see separate row).</t>
  </si>
  <si>
    <t xml:space="preserve">50% INVOICED — due next week</t>
  </si>
  <si>
    <t xml:space="preserve">50% of base labour (£1,900.00) full price. Rubbish removal transferred to pooled skip fund 10 Aug.</t>
  </si>
  <si>
    <t xml:space="preserve">Paid 14 Aug</t>
  </si>
  <si>
    <t xml:space="preserve">INVOICED 13 Aug as part of Luke's INV-0288 (£2,150 total, due 14 Aug) — that invoice also includes the £250 condensation-prep item, now tracked separately under Contingency. No longer includes rubbish removal — see Rubbish removal (pooled skips) row.</t>
  </si>
  <si>
    <t xml:space="preserve">Additional scope — condensation-escape prep (price TBC)</t>
  </si>
  <si>
    <t xml:space="preserve">Combined labour + materials, Luke's estimate — price NOT yet finalised</t>
  </si>
  <si>
    <t xml:space="preserve">RECLASSIFIED: priced at £250, invoiced as part of Luke's INV-0288 (£2,150 total, 13 Aug), paid 14 Aug via bank transfer. Tracked as Contingency named purpose #6 — Est.£ shown as £0 here since it's a draw FROM the £5,000 pot (row 14), not additional money on top of it.</t>
  </si>
  <si>
    <t xml:space="preserve">Stage 1 (25%, INV-0289) PAID 20 Aug — 4 stages confirmed, flat 25% each</t>
  </si>
  <si>
    <t xml:space="preserve">£17,600 labour total across stages, at quoted rates. CORRECTED 4 Sep: cash payments DO get the 10% discount (same as chimney/coping) — only invoiced stages are full price. Rubbish removal transferred to pooled skip fund.</t>
  </si>
  <si>
    <t xml:space="preserve">Stage 1 paid, 25% down</t>
  </si>
  <si>
    <t xml:space="preserve">Stage 1 (£4,400) invoiced/paid 20 Aug, full price. Two cash instalments since (£2,000 each, 4 Sep + 18 Sep), 10% discount applies to both. £8,400 paid to date, £8,844.44 quoted value retired, £8,755.56 remaining. Exact milestone triggers for further stages still TBC.</t>
  </si>
  <si>
    <t xml:space="preserve">Periodic — on receipts</t>
  </si>
  <si>
    <t xml:space="preserve">Merchant trade accounts (Dry Lining Supplies, TP etc.)</t>
  </si>
  <si>
    <t xml:space="preserve">Pooled £1,130 budget (chimney £480 + coping £650)</t>
  </si>
  <si>
    <t xml:space="preserve">Agreed in principle</t>
  </si>
  <si>
    <t xml:space="preserve">Log each receipt in Register + Materials Receipts sheet</t>
  </si>
  <si>
    <t xml:space="preserve">Rainy-day tasks 100% on completion; named extras as incurred</t>
  </si>
  <si>
    <t xml:space="preserve">LG Building / merchants</t>
  </si>
  <si>
    <t xml:space="preserve">£5,000 pot — fence labour, soakaway fix, garage drainage, curved-deck extras, cement &amp; bricks. Labour at 10% discount</t>
  </si>
  <si>
    <t xml:space="preserve">Approved 20 Jul — first draw 14 Aug</t>
  </si>
  <si>
    <t xml:space="preserve">Curved-decking extra labour discount TBC. First draw: coping condensation-prep (£250, named purpose #6), paid 14 Aug via bank transfer, INV-0288. The £5,000 pot has since been exceeded — see the Contingency Drawdown sheet. Each drawdown also on Contingency Drawdown sheet.</t>
  </si>
  <si>
    <t xml:space="preserve">Additional material — stainless steel cowl</t>
  </si>
  <si>
    <t xml:space="preserve">StoveWorldUK (paid direct, project account)</t>
  </si>
  <si>
    <t xml:space="preserve">Order #147399, 10 Aug 2026</t>
  </si>
  <si>
    <t xml:space="preserve">5" stainless steel chimney pot hanger cowl — replaces original spec (decision logged 7 Aug), prevents rusting. Contingency named purpose #7 — Est.£ shown as £0 here since it's a draw FROM the £5,000 pot (row 14), not additional money on top of it. Actually paid: £62.90 (see Invoice Register).</t>
  </si>
  <si>
    <t xml:space="preserve">Periodic — as skips are needed</t>
  </si>
  <si>
    <t xml:space="preserve">Provisional £1,360 (transferred from chimney/coping/decking rubbish quotes)</t>
  </si>
  <si>
    <t xml:space="preserve">Approved 10 Aug</t>
  </si>
  <si>
    <t xml:space="preserve">First skip £344.16 paid 10 Aug, delivery 11 Aug. More skips expected during decking — budget is provisional, watch like the materials pool. Log each skip in Register + Skip Hire Log sheet.</t>
  </si>
  <si>
    <t xml:space="preserve">New scope, own budget — estimate 4 Sep; started 29 Sep; complete Fri 16 Oct</t>
  </si>
  <si>
    <t xml:space="preserve">£1,600 labour (no VAT) + £150 scaffold tower + £350 materials = £2,100 (the £2,140 quote less £40 rubbish removal, reclassified to the pooled Rubbish removal fund and not yet incurred). Tower not needed (Luke used his ladder) — the £150 benefit offsets £40.40 of additional materials.</t>
  </si>
  <si>
    <t xml:space="preserve">Complete — finished Fri 16 Oct (incl. lead flashing)</t>
  </si>
  <si>
    <t xml:space="preserve">Supersedes the earlier 'gutters included in Luke's price' understanding (old Gantt tasks 1.5 and 3.2, merged into task 1.5 on 4 Oct). The estimate has no front-of-house gutters; front tile repairs are covered by 'replace various broken slates'.</t>
  </si>
  <si>
    <t xml:space="preserve">Named purpose #24 — V4 materials, expanded shed-area/fence-move decking scope</t>
  </si>
  <si>
    <t xml:space="preserve">Quote #QUO-0031, actioned + paid by phone 29 Sep</t>
  </si>
  <si>
    <t xml:space="preserve">£5,322.74 actual — a draw FROM the £5,000 pot (row 14), not additional money on top of it, same convention as the other named-purpose rows. This single draw alone exceeds the pot; see Contingency Drawdown sheet and Summary for the resulting negative remaining balance.</t>
  </si>
  <si>
    <t xml:space="preserve">Named purpose #25 — TP invoice 1049231418</t>
  </si>
  <si>
    <t xml:space="preserve">Travis Perkins (Luke's account)</t>
  </si>
  <si>
    <t xml:space="preserve">Invoice 1049231418 (11 Aug)</t>
  </si>
  <si>
    <t xml:space="preserve">£108.14 actual — a draw FROM the £5,000 pot (row 14), not additional money on top of it. Paid 11 Sep from the £500 TP receipt.</t>
  </si>
  <si>
    <t xml:space="preserve">Named purpose #26 — TP invoice 1049595624</t>
  </si>
  <si>
    <t xml:space="preserve">Invoice 1049595624 (17 Aug)</t>
  </si>
  <si>
    <t xml:space="preserve">£347.12 actual — a draw FROM the £5,000 pot (row 14), not additional money on top of it. £247.01 paid 11 Sep; £100.11 balance paid by card 5 Oct.</t>
  </si>
  <si>
    <t xml:space="preserve">Named purpose #27 — TP invoice 1050655200</t>
  </si>
  <si>
    <t xml:space="preserve">Invoice 1050655200 (3 Sep)</t>
  </si>
  <si>
    <t xml:space="preserve">£249.46 actual — a draw FROM the £5,000 pot (row 14), not additional money on top of it. Paid by card 5 Oct (TP settlement).</t>
  </si>
  <si>
    <t xml:space="preserve">Named purpose #28 — TP invoice 1051287675</t>
  </si>
  <si>
    <t xml:space="preserve">Invoice 1051287675 (14 Sep)</t>
  </si>
  <si>
    <t xml:space="preserve">£277.79 actual — a draw FROM the £5,000 pot (row 14), not additional money on top of it. Tracked dumper hire. Paid by card 5 Oct (TP settlement).</t>
  </si>
  <si>
    <t xml:space="preserve">Named purpose #29 — TP invoice 1051688095</t>
  </si>
  <si>
    <t xml:space="preserve">Invoice 1051688095 (21 Sep)</t>
  </si>
  <si>
    <t xml:space="preserve">£60.30 actual — a draw FROM the £5,000 pot (row 14), not additional money on top of it. Paid by card 5 Oct (TP settlement).</t>
  </si>
  <si>
    <t xml:space="preserve">Named purpose #30 — TP invoice 1051708772</t>
  </si>
  <si>
    <t xml:space="preserve">Invoice 1051708772 (21 Sep)</t>
  </si>
  <si>
    <t xml:space="preserve">£50.76 actual — a draw FROM the £5,000 pot (row 14), not additional money on top of it. Paid by card 5 Oct (TP settlement).</t>
  </si>
  <si>
    <t xml:space="preserve">Named purpose #4 — curved-decking labour (INV-0293)</t>
  </si>
  <si>
    <t xml:space="preserve">INV-0293, issued 9 Oct</t>
  </si>
  <si>
    <t xml:space="preserve">£800 actual — a draw FROM the £5,000 pot (row 14), not additional money on top of it. Part of LG INV-0293 (£1,850); paid 9 Oct by bank transfer. The £1,000 agreed on 24 Sep was billed as £800.</t>
  </si>
  <si>
    <t xml:space="preserve">Named purpose #32 — additional deck labour (extended deck &amp; shed base)</t>
  </si>
  <si>
    <t xml:space="preserve">£1,050 actual — a draw FROM the £5,000 pot (row 14), not additional money on top of it. Part of LG INV-0293 (£1,850); paid 9 Oct by bank transfer.</t>
  </si>
  <si>
    <t xml:space="preserve">Named purpose #33 — Toolstation saw blades and drill bits</t>
  </si>
  <si>
    <t xml:space="preserve">Luke (card)</t>
  </si>
  <si>
    <t xml:space="preserve">Toolstation order YAC545477716, 6 Oct</t>
  </si>
  <si>
    <t xml:space="preserve">£84.97 actual — a draw FROM the £5,000 pot (row 14), not additional money on top of it. Bought by Luke on his card 6 Oct; repaid in cash 13 Oct.</t>
  </si>
  <si>
    <t xml:space="preserve">Named purpose #34 — whole-house soft wash</t>
  </si>
  <si>
    <t xml:space="preserve">Gorgeous Cleaning Services, Mon 19 Oct (cash)</t>
  </si>
  <si>
    <t xml:space="preserve">£1,200 actual — a draw FROM the £5,000 pot (row 14), not additional money on top of it. Paid in cash Mon 19 Oct.</t>
  </si>
  <si>
    <t xml:space="preserve">Named purpose #35 — driveway channel (LG INV-0294)</t>
  </si>
  <si>
    <t xml:space="preserve">INV-0294, issued and paid 17 Oct</t>
  </si>
  <si>
    <t xml:space="preserve">£350 actual — a draw FROM the £5,000 pot (row 14), not additional money on top of it. Half a day, Luke and Max, 14 Oct. Part of LG INV-0294 (£1,350, bank transfer 17 Oct).</t>
  </si>
  <si>
    <t xml:space="preserve">Named purpose #36 — extra decking labour (LG INV-0294)</t>
  </si>
  <si>
    <t xml:space="preserve">£1,000 actual — a draw FROM the £5,000 pot (row 14), not additional money on top of it. Extended deck &amp; shed base. Part of LG INV-0294 (£1,350, bank transfer 17 Oct).</t>
  </si>
  <si>
    <t xml:space="preserve">Named purpose #37 — pipe lagging for the outside tap/pipework</t>
  </si>
  <si>
    <t xml:space="preserve">Buy Insulation Online</t>
  </si>
  <si>
    <t xml:space="preserve">Order INV842429677, 20 Oct</t>
  </si>
  <si>
    <t xml:space="preserve">£177.58 actual — a draw FROM the £5,000 pot (row 14), not additional money on top of it. Paid by Ryan's card 20 Oct.</t>
  </si>
  <si>
    <t xml:space="preserve">Named purpose #38 — V4 materials to complete the decking substructure (QUO-0040)</t>
  </si>
  <si>
    <t xml:space="preserve">QUO-0040, delivered 19 Oct</t>
  </si>
  <si>
    <t xml:space="preserve">£1,268 actual — a draw FROM the £5,000 pot (row 14), not additional money on top of it. Paid by card 22 Oct.</t>
  </si>
  <si>
    <t xml:space="preserve">Schedule Total:</t>
  </si>
  <si>
    <t xml:space="preserve">Summary tab committed total:</t>
  </si>
  <si>
    <t xml:space="preserve">Difference (must be £0.00):</t>
  </si>
  <si>
    <t xml:space="preserve">Invoice &amp; Payment Register — add a row per invoice received</t>
  </si>
  <si>
    <t xml:space="preserve">Yellow cells are inputs. Cost centre must match the Summary sheet names exactly (dropdown-free by design — copy from row 5). Paid date empty = outstanding.</t>
  </si>
  <si>
    <t xml:space="preserve">Reference</t>
  </si>
  <si>
    <t xml:space="preserve">Description</t>
  </si>
  <si>
    <t xml:space="preserve">Amount £ (gross)</t>
  </si>
  <si>
    <t xml:space="preserve">Paid date</t>
  </si>
  <si>
    <t xml:space="preserve">Method</t>
  </si>
  <si>
    <t xml:space="preserve">Scope basis</t>
  </si>
  <si>
    <t xml:space="preserve">V4FQ-15584</t>
  </si>
  <si>
    <t xml:space="preserve">Millboard Ashwood decking + Plas-Pro subframe, fixings (144.9 m²)</t>
  </si>
  <si>
    <t xml:space="preserve">Amex</t>
  </si>
  <si>
    <t xml:space="preserve">Paid in full at order</t>
  </si>
  <si>
    <t xml:space="preserve">Quote: original V4 order.</t>
  </si>
  <si>
    <t xml:space="preserve">Dry Lining Supplies Ltd</t>
  </si>
  <si>
    <t xml:space="preserve">RECB000NNIVB49XWEXOG</t>
  </si>
  <si>
    <t xml:space="preserve">Render materials (shared chimney+coping): mesh, Weberend Aid ×6, beads, SBR, rubble sacks</t>
  </si>
  <si>
    <t xml:space="preserve">Pay By Link</t>
  </si>
  <si>
    <t xml:space="preserve">Project-materials share of £423.69 receipt</t>
  </si>
  <si>
    <t xml:space="preserve">Cost centre (chimney/coping pools).</t>
  </si>
  <si>
    <t xml:space="preserve">Folding work platform 600mm — Luke's equipment, non-project</t>
  </si>
  <si>
    <t xml:space="preserve">PREPAYMENT vs chimney phase-start invoice: pay £1,528.29 of the £1,640 when it lands</t>
  </si>
  <si>
    <t xml:space="preserve">Cash</t>
  </si>
  <si>
    <t xml:space="preserve">Scaffold erection payment — chimney share (pro-rata of £2,000 cash)</t>
  </si>
  <si>
    <t xml:space="preserve">£2,000 paid following erection 17–18 Jul; amend date cell if payment day differed</t>
  </si>
  <si>
    <t xml:space="preserve">INV-0286</t>
  </si>
  <si>
    <t xml:space="preserve">Chimney labour, invoiced (£3,200 less £111.70 work-platform prepayment). Rubbish removal £80 NOT included — outstanding.</t>
  </si>
  <si>
    <t xml:space="preserve">Bank transfer</t>
  </si>
  <si>
    <t xml:space="preserve">Invoiced (non-cash) — full price, no 10% discount. £80 rubbish removal still outstanding.</t>
  </si>
  <si>
    <t xml:space="preserve">Dry Lining Supplies</t>
  </si>
  <si>
    <t xml:space="preserve">914751798</t>
  </si>
  <si>
    <t xml:space="preserve">Weber Pral M Silver Pearl x10, Plastic 15mm Stop Bead 3m x3 (shared render finish)</t>
  </si>
  <si>
    <t xml:space="preserve">Second pooled-materials trip</t>
  </si>
  <si>
    <t xml:space="preserve">RECB000NNIVB6DIPDFCW</t>
  </si>
  <si>
    <t xml:space="preserve">Weberend Ocr x3, Weber Pral M Silver Pearl x4, Stop Bead x6, Drip Bead x2, Sikabond SBR x1 (coping render)</t>
  </si>
  <si>
    <t xml:space="preserve">Coping stones render materials. Receipt received 4 Aug (till David, 07:31).</t>
  </si>
  <si>
    <t xml:space="preserve">Coping 50% cash labour payment (base labour only, 10% discount). Condensation-prep addition NOT included — price not yet finalised.</t>
  </si>
  <si>
    <t xml:space="preserve">Confirmed 7 Aug: 50% cash / 50% invoice split on original £3,800 quote. Remainder £1,980.00 (incl. rubbish) to be invoiced next week. £250 addition separate, price TBC.</t>
  </si>
  <si>
    <t xml:space="preserve">StoveWorldUK</t>
  </si>
  <si>
    <t xml:space="preserve">Order #147399</t>
  </si>
  <si>
    <t xml:space="preserve">5" Stainless Steel Chimney Pot Hanger Cowl — replaces original spec</t>
  </si>
  <si>
    <t xml:space="preserve">Card (Ryan, project account)</t>
  </si>
  <si>
    <t xml:space="preserve">Named purpose #7 (chimney cowl upgrade). RECLASSIFIED 17 Aug from Chimney repair — genuine scope addition beyond original quote.</t>
  </si>
  <si>
    <t xml:space="preserve">Item: chimney cowl (purpose #7).</t>
  </si>
  <si>
    <t xml:space="preserve">Skip Hire Comparison Ltd</t>
  </si>
  <si>
    <t xml:space="preserve">D81F29CE-0002</t>
  </si>
  <si>
    <t xml:space="preserve">8 cubic yard skip, delivery 11 Aug</t>
  </si>
  <si>
    <t xml:space="preserve">First skip. Replaces chimney/coping/decking rubbish-removal quotes — transferred to this pooled fund 10 Aug. CANCELLED 11 Aug — original supplier delayed delivery; refunded in full (receipt 3362-9782), see row below.</t>
  </si>
  <si>
    <t xml:space="preserve">Pooled skip hire serves all work.</t>
  </si>
  <si>
    <t xml:space="preserve">Refund 3362-9782 (orig. inv. D81F29CE-0002)</t>
  </si>
  <si>
    <t xml:space="preserve">Refund — original skip cancelled after supplier delivery delay</t>
  </si>
  <si>
    <t xml:space="preserve">Refund confirmed received 13 Aug 2026 — cleared in 2 working days, faster than the 5-10 day estimate.</t>
  </si>
  <si>
    <t xml:space="preserve">Elmbridge Mini Skips</t>
  </si>
  <si>
    <t xml:space="preserve">INV-11373 / ref 25996</t>
  </si>
  <si>
    <t xml:space="preserve">8 cubic yard skip — delivery, replaces cancelled Skip Hire Comparison booking</t>
  </si>
  <si>
    <t xml:space="preserve">TBC</t>
  </si>
  <si>
    <t xml:space="preserve">Settled 12 Aug 2026. Skip delivered filled 11 Aug; collected and swapped for empty 12 Aug.</t>
  </si>
  <si>
    <t xml:space="preserve">INV-11375 / ref 26030</t>
  </si>
  <si>
    <t xml:space="preserve">8 cubic yard skip — exchange (collects filled skip, delivers empty)</t>
  </si>
  <si>
    <t xml:space="preserve">Settled 12 Aug 2026.</t>
  </si>
  <si>
    <t xml:space="preserve">INV-0288</t>
  </si>
  <si>
    <t xml:space="preserve">50% invoiced balance — coping base labour</t>
  </si>
  <si>
    <t xml:space="preserve">Paid as part of INV-0288 (£2,150 total, also includes the £250 condensation-prep item — see Contingency row below).</t>
  </si>
  <si>
    <t xml:space="preserve">Named purpose #6 — coping condensation-escape prep (re-bed 3 bricks, fibreglass mesh, 4 weep holes)</t>
  </si>
  <si>
    <t xml:space="preserve">Reclassified from Coping 13 Aug. Terms were originally agreed as 100% cash — confirmed 14 Aug this is instead paid via bank transfer as part of INV-0288, bundled with the £1,900 coping balance.</t>
  </si>
  <si>
    <t xml:space="preserve">Item: coping condensation-prep (purpose #6).</t>
  </si>
  <si>
    <t xml:space="preserve">SoftWash UK</t>
  </si>
  <si>
    <t xml:space="preserve">Order F4UJ62VLQ</t>
  </si>
  <si>
    <t xml:space="preserve">Render Cleaner Gel X Pro, 5 Litres</t>
  </si>
  <si>
    <t xml:space="preserve">Card (Mastercard ...4597)</t>
  </si>
  <si>
    <t xml:space="preserve">Paid at checkout, order confirmed 16 Aug. Also logged on Materials Receipts sheet — pool detail.</t>
  </si>
  <si>
    <t xml:space="preserve">LG Building and Roofing Ltd (Travis Perkins account)</t>
  </si>
  <si>
    <t xml:space="preserve">TP invoices 1047678330 / 1047972816 / 1048887075</t>
  </si>
  <si>
    <t xml:space="preserve">Render/masonry consumables + lead flashing — pooled, not split by workstream</t>
  </si>
  <si>
    <t xml:space="preserve">PAID 18 Aug, confirmed as part of the full £547.88 TP account settlement (all 4 invoices). £0.02 rounding absorbed here so the three allocations reconcile exactly to the confirmed total.</t>
  </si>
  <si>
    <t xml:space="preserve">Refund against 4 Aug order</t>
  </si>
  <si>
    <t xml:space="preserve">Refund — 5 bags unused monocouche + other returned items, against original £148.53 order</t>
  </si>
  <si>
    <t xml:space="preserve">Refund confirmed received 19 Aug — £72.23, slightly more than the £63.10 estimate (5 bags x £12.62), likely covered a few additional returned items beyond the monocouche. Actual figure used, not the estimate.</t>
  </si>
  <si>
    <t xml:space="preserve">TP invoice 1048887075</t>
  </si>
  <si>
    <t xml:space="preserve">Damplas DPC roll — coping condensation-prep material (named purpose #6)</t>
  </si>
  <si>
    <t xml:space="preserve">PAID 18 Aug, part of the full £547.88 TP account settlement. Adds to the existing purpose #6 draw (£250 labour) — total now £276.42.</t>
  </si>
  <si>
    <t xml:space="preserve">Item: coping DPC roll (purpose #6).</t>
  </si>
  <si>
    <t xml:space="preserve">TP invoice 1049120278</t>
  </si>
  <si>
    <t xml:space="preserve">Cleaning/finishing consumables — pooled, not split by workstream</t>
  </si>
  <si>
    <t xml:space="preserve">PAID 18 Aug, part of the full £547.88 TP account settlement.</t>
  </si>
  <si>
    <t xml:space="preserve">INV-0289</t>
  </si>
  <si>
    <t xml:space="preserve">Decking labour — stage 1 (25% of £17,600 quoted labour)</t>
  </si>
  <si>
    <t xml:space="preserve">First stage payment — resolves the earlier open question about 4-5 stage triggers: appears to be a flat 25% per stage. 3 stages remaining (£13,200).</t>
  </si>
  <si>
    <t xml:space="preserve">Cost centre: decking labour.</t>
  </si>
  <si>
    <t xml:space="preserve">Scaffold erection payment — coping share (pro-rata of £2,000 cash). CAUGHT 18 Aug: paid at the time, only now logged in the Register.</t>
  </si>
  <si>
    <t xml:space="preserve">Matches chimney's already-logged share (row 8) — total £2,000 split £1,500/£1,700 chimney/coping ratio.</t>
  </si>
  <si>
    <t xml:space="preserve">Scaffold final balance — chimney share (pro-rata of £1,200)</t>
  </si>
  <si>
    <t xml:space="preserve">Scaffold strike complete 18 Aug, final balance paid. Full £3,200 now settled: £1,500 chimney + £1,700 coping.</t>
  </si>
  <si>
    <t xml:space="preserve">Scaffold final balance — coping share (pro-rata of £1,200)</t>
  </si>
  <si>
    <t xml:space="preserve">Scaffold strike complete 18 Aug, final balance paid.</t>
  </si>
  <si>
    <t xml:space="preserve">V4FQ-17702</t>
  </si>
  <si>
    <t xml:space="preserve">V4 screw top-up — 15 boxes structural subframe screws (named purpose #8)</t>
  </si>
  <si>
    <t xml:space="preserve">Requested by Luke 20 Aug, ordered and paid 24 Aug.</t>
  </si>
  <si>
    <t xml:space="preserve">Item: structural subframe screws (V4 top-up #1).</t>
  </si>
  <si>
    <t xml:space="preserve">Decking labour — cash instalment (10% discount applies)</t>
  </si>
  <si>
    <t xml:space="preserve">Retires £2,222.22 of quoted value at the 10% cash discount (£2,000 paid = 90%). Not a full 25% stage — partial/interim payment. Total paid to date: £6,400 (Stage 1 £4,400 invoiced + this £2,000 cash). Quoted value remaining: £10,977.78.</t>
  </si>
  <si>
    <t xml:space="preserve">TBC (no invoice number given)</t>
  </si>
  <si>
    <t xml:space="preserve">V4 screw top-up #2 — 15 boxes structural subframe screws (named purpose #9)</t>
  </si>
  <si>
    <t xml:space="preserve">Invoice received and paid 10 Sep, delivery scheduled 11 Sep. Amount inferred from purpose #8's confirmed rate — no invoice number/exact figure given; flag if actual differs.</t>
  </si>
  <si>
    <t xml:space="preserve">Item: structural subframe screws (V4 top-up #2).</t>
  </si>
  <si>
    <t xml:space="preserve">N/A (cash)</t>
  </si>
  <si>
    <t xml:space="preserve">Old decking substructure wood collection — corrected to £680 (was £350 est.), charged per trip, 2 trips</t>
  </si>
  <si>
    <t xml:space="preserve">Same job as the earlier £350 estimate — supplier charges per trip, not a flat rate. Not a separate/additional charge.</t>
  </si>
  <si>
    <t xml:space="preserve">Item: old decking substructure wood collection.</t>
  </si>
  <si>
    <t xml:space="preserve">Extra digging — wider gate area + shed/additional deck (named purpose #11)</t>
  </si>
  <si>
    <t xml:space="preserve">Quoted £1,400, 10% cash discount applied. Part of Luke's 11 Sep extras, £2,115 total across 4 items.</t>
  </si>
  <si>
    <t xml:space="preserve">Item: extra digging for the wider gate area + shed/additional deck (mixed, both extended scope).</t>
  </si>
  <si>
    <t xml:space="preserve">Cleanup after machines + dig up small tree (named purpose #12)</t>
  </si>
  <si>
    <t xml:space="preserve">Quoted £200, 10% cash discount applied.</t>
  </si>
  <si>
    <t xml:space="preserve">Item: clean-up after the machines + small tree dig.</t>
  </si>
  <si>
    <t xml:space="preserve">Fence move, chimney side/side a boundary reclaim (named purpose #13)</t>
  </si>
  <si>
    <t xml:space="preserve">Quoted £700 for move+spurs, but spurs (3.3, side b) didn't happen — only £350 charged, 10% cash discount applied.</t>
  </si>
  <si>
    <t xml:space="preserve">Item: fence move, chimney side / side (a) boundary reclaim.</t>
  </si>
  <si>
    <t xml:space="preserve">Extra frame, wider deck gate area (named purpose #14)</t>
  </si>
  <si>
    <t xml:space="preserve">Quoted £400, 10% cash discount applied.</t>
  </si>
  <si>
    <t xml:space="preserve">Item: extra frame for the wider deck gate area.</t>
  </si>
  <si>
    <t xml:space="preserve">Decking labour — second cash instalment (10% discount applies)</t>
  </si>
  <si>
    <t xml:space="preserve">Retires £2,222.22 of quoted value at the 10% cash discount. Total paid to date: £8,400 (Stage 1 £4,400 invoiced + £2,000 cash 4 Sep + £2,000 cash 18 Sep). Quoted value retired: £8,844.44. Remaining: £8,755.56.</t>
  </si>
  <si>
    <t xml:space="preserve">1049651867</t>
  </si>
  <si>
    <t xml:space="preserve">TP materials — cement, blade (named purpose #16)</t>
  </si>
  <si>
    <t xml:space="preserve">Card (TP settlement, 5 Oct)</t>
  </si>
  <si>
    <t xml:space="preserve">On Luke's TP trade account (NH4276). PAID 5 Oct 2026 by card — part of the £2,313.89 TP settlement (see TP Account).</t>
  </si>
  <si>
    <t xml:space="preserve">Date rule: invoiced before 21 Sep → main deck. Luke (2 Oct): only 1 day (2 people) spent on the extended deck so far — half last week, half this week. INFERRED — confirm with Luke.</t>
  </si>
  <si>
    <t xml:space="preserve">1049757851</t>
  </si>
  <si>
    <t xml:space="preserve">TP materials — plywood, drill bit, screws, gloves (named purpose #17)</t>
  </si>
  <si>
    <t xml:space="preserve">1049844268</t>
  </si>
  <si>
    <t xml:space="preserve">TP materials — ballast x2, cement, blocks, pallet deposit (named purpose #18)</t>
  </si>
  <si>
    <t xml:space="preserve">On Luke's TP trade account (NH4276). Includes £30.30 REFUNDABLE pallet deposit — not a final cost. PAID 5 Oct 2026 by card — part of the £2,313.89 TP settlement (see TP Account).</t>
  </si>
  <si>
    <t xml:space="preserve">1049844267</t>
  </si>
  <si>
    <t xml:space="preserve">TP materials — Broadfix flat packers (named purpose #19)</t>
  </si>
  <si>
    <t xml:space="preserve">1050903283</t>
  </si>
  <si>
    <t xml:space="preserve">TP materials — plywood, line marker (named purpose #20)</t>
  </si>
  <si>
    <t xml:space="preserve">Travis Perkins Hire (Luke's account)</t>
  </si>
  <si>
    <t xml:space="preserve">1051011143</t>
  </si>
  <si>
    <t xml:space="preserve">Digger hire — excavator, waiver, diesel, transport (named purpose #10, corrects £530 est.)</t>
  </si>
  <si>
    <t xml:space="preserve">On Luke's TP trade account (NH4276). No barrow loader charge on this invoice — flagged, not confirmed either way. PAID 5 Oct 2026 by card — part of the £2,313.89 TP settlement (see TP Account).</t>
  </si>
  <si>
    <t xml:space="preserve">Hire used for both the main deck widening and the new shed area (Luke, 8 Sep) — mixed, not split.</t>
  </si>
  <si>
    <t xml:space="preserve">1051072869</t>
  </si>
  <si>
    <t xml:space="preserve">TP materials — ballast, cement (named purpose #21)</t>
  </si>
  <si>
    <t xml:space="preserve">1051162218</t>
  </si>
  <si>
    <t xml:space="preserve">TP materials — gloves, woodscrews (named purpose #22)</t>
  </si>
  <si>
    <t xml:space="preserve">Small consumables (gloves + woodscrews) — cannot be split between projects. INFERRED.</t>
  </si>
  <si>
    <t xml:space="preserve">1051142985</t>
  </si>
  <si>
    <t xml:space="preserve">TP fence materials — posts, postcrete, rail brackets, pegs, treated timber, gloves (named purpose #23)</t>
  </si>
  <si>
    <t xml:space="preserve">On Luke's TP trade account (NH4276). Two-page invoice, both pages verified (£242.64 goods + £48.53 VAT = £291.17). PAID 5 Oct 2026 by card — part of the £2,313.89 TP settlement (see TP Account).</t>
  </si>
  <si>
    <t xml:space="preserve">Item: fence materials (posts, rails, brackets, Postcrete, pegs).</t>
  </si>
  <si>
    <t xml:space="preserve">QUO-0031 (quote number used as invoice ref — no formal invoice/order confirmation received)</t>
  </si>
  <si>
    <t xml:space="preserve">V4 materials — expanded shed-area/fence-move decking scope (named purpose #24), actioned + paid by phone 29 Sep</t>
  </si>
  <si>
    <t xml:space="preserve">Card (paid over the phone)</t>
  </si>
  <si>
    <t xml:space="preserve">Delivery expected 30 Sep or 1 Oct. Routed to Contingency per Ryan's steer 29 Sep — covers expanded scope beyond the original V4 order, not the base decking quote.</t>
  </si>
  <si>
    <t xml:space="preserve">Quote: V4 order for the expanded shed-area / fence-move decking scope.</t>
  </si>
  <si>
    <t xml:space="preserve">Graham (The Plumbers' Merchant), via Luke's cash trade account</t>
  </si>
  <si>
    <t xml:space="preserve">SI19670857</t>
  </si>
  <si>
    <t xml:space="preserve">Guttering/fascia materials — rear-of-house gutters (FloPlast Hi-Cap black system): gutter pipe, fascia brackets, running outlet, external stopend, downpipe</t>
  </si>
  <si>
    <t xml:space="preserve">Cash (via Luke) — £260 handed over, £3.22 of which was Luke's own coin top-up to round the figure</t>
  </si>
  <si>
    <t xml:space="preserve">Replaces the £350 generic materials placeholder in Cost Lines for Roofline works. Further materials invoices may follow as the job extends to other elevations.</t>
  </si>
  <si>
    <t xml:space="preserve">Cost centre: Roofline works.</t>
  </si>
  <si>
    <t xml:space="preserve">SI19687572</t>
  </si>
  <si>
    <t xml:space="preserve">Union bracket (RUH1BL) — additional guttering fitting</t>
  </si>
  <si>
    <t xml:space="preserve">Cash (via Luke) — £90 combined with TFP 0001458493, paid 2 Oct</t>
  </si>
  <si>
    <t xml:space="preserve">Part of a combined £90 cash payment (with TFP 0001458493): £87.75 of invoices + £2.25 Luke's coin top-up. Reimbursed to Luke in cash 2 Oct.</t>
  </si>
  <si>
    <t xml:space="preserve">The Fascia Place (TFP), Guildford</t>
  </si>
  <si>
    <t xml:space="preserve">0001458493</t>
  </si>
  <si>
    <t xml:space="preserve">Fascia board, soffit board, fascia joints, soffit trim (white)</t>
  </si>
  <si>
    <t xml:space="preserve">Cash (via Luke) — £90 combined with Graham SI19687572, paid 2 Oct</t>
  </si>
  <si>
    <t xml:space="preserve">Part of a combined £90 cash payment (with Graham SI19687572): £87.75 of invoices + £2.25 Luke's coin top-up. Reimbursed to Luke in cash 2 Oct. Invoice marked 'Payment has been received with thanks'.</t>
  </si>
  <si>
    <t xml:space="preserve">0001458792</t>
  </si>
  <si>
    <t xml:space="preserve">Soffit board — 250mm x 9mm pre-vented, white (SM250WV)</t>
  </si>
  <si>
    <t xml:space="preserve">Cash (via Luke) — £40.40, paid 2 Oct</t>
  </si>
  <si>
    <t xml:space="preserve">Invoice marked 'payment has been received' (Luke paid at the TP counter). Reimbursed to Luke in cash 2 Oct.</t>
  </si>
  <si>
    <t xml:space="preserve">1049231418</t>
  </si>
  <si>
    <t xml:space="preserve">Sand, white Snowcrete cement, Bosch blade (named purpose #25)</t>
  </si>
  <si>
    <t xml:space="preserve">Bank transfer (part of £500 TP receipt)</t>
  </si>
  <si>
    <t xml:space="preserve">On Luke's TP trade account (NH4276), Net Monthly terms. Cleared by the £500 receipt of 11 Sep (taken from bank 12 Sep) per TP transaction history CSV.</t>
  </si>
  <si>
    <t xml:space="preserve">Date rule: invoiced before 21 Sep → main deck. Luke (2 Oct): only 1 day (2 people) spent on the extended deck so far — half last week, half this week. INFERRED — confirm with Luke. NB white Snowcrete cement + sand may relate to the coping work (13 Aug).</t>
  </si>
  <si>
    <t xml:space="preserve">1049595624 (part paid)</t>
  </si>
  <si>
    <t xml:space="preserve">Ballast, building sand, 72 blocks (named purpose #26) — paid portion</t>
  </si>
  <si>
    <t xml:space="preserve">On Luke's TP trade account (NH4276), Net Monthly terms. Part 1 of 2: £247.01 is the remainder of the £500 receipt after the five invoices listed in TP's CSV (inferred by elimination).</t>
  </si>
  <si>
    <t xml:space="preserve">1049595624 (balance)</t>
  </si>
  <si>
    <t xml:space="preserve">Ballast, building sand, 72 blocks (named purpose #26) — balance</t>
  </si>
  <si>
    <t xml:space="preserve">On Luke's TP trade account (NH4276), Net Monthly terms. Part 2 of 2: the £100.11 balance, confirmed outstanding by Luke, paid by card 5 Oct as part of the £2,313.89 TP settlement. Part 1 (£247.01) was paid 11 Sep.</t>
  </si>
  <si>
    <t xml:space="preserve">1050655200</t>
  </si>
  <si>
    <t xml:space="preserve">Ballast x2, Mastercrete cement x10 (named purpose #27)</t>
  </si>
  <si>
    <t xml:space="preserve">1051287675</t>
  </si>
  <si>
    <t xml:space="preserve">Tracked dumper hire 2–8 Sep (named purpose #28)</t>
  </si>
  <si>
    <t xml:space="preserve">1051688095</t>
  </si>
  <si>
    <t xml:space="preserve">Blocks x6, cement x4, rubber mallet, line marker (named purpose #29)</t>
  </si>
  <si>
    <t xml:space="preserve">Concrete/blocks dated 21 Sep — fits the first extended-deck work (Luke, 2 Oct: 1 day x2 people so far, half last week, half this week). INFERRED — confirm with Luke.</t>
  </si>
  <si>
    <t xml:space="preserve">1051708772</t>
  </si>
  <si>
    <t xml:space="preserve">Blocks x20 (named purpose #30)</t>
  </si>
  <si>
    <t xml:space="preserve">INV-0291</t>
  </si>
  <si>
    <t xml:space="preserve">Roofline works labour — gutter replacement, fascia/soffit extension, slate replacement, barge board trim (per 4 Sep estimate; labour only, no VAT)</t>
  </si>
  <si>
    <t xml:space="preserve">Issued 2 Oct, due 2 Oct. Confirmed correct by Ryan 3 Oct and paid by bank transfer 3 Oct — full price, so no cash discount applies. Matches the labour line of the 4 Sep estimate exactly.</t>
  </si>
  <si>
    <t xml:space="preserve">INV-0293 (curves)</t>
  </si>
  <si>
    <t xml:space="preserve">Extra decking labour — curves (named purpose #4); part of LG INV-0293 (curve and additional decking)</t>
  </si>
  <si>
    <t xml:space="preserve">LG invoice INV-0293, £1,850 in total (no VAT), issued and due 9 Oct 2026 for the extra work carried out (curve and additional decking); paid in full 9 Oct by bank transfer. Full price, no cash discount. Separate from the £17,600 decking labour draws.</t>
  </si>
  <si>
    <t xml:space="preserve">Curves = named purpose #4 (Main deck scope). Ryan split INV-0293 into £800 curves + £1,050 additional deck on 9 Oct.</t>
  </si>
  <si>
    <t xml:space="preserve">INV-0293 (additional deck)</t>
  </si>
  <si>
    <t xml:space="preserve">Extra decking labour — additional deck, extended deck &amp; shed base (named purpose #32); part of LG INV-0293</t>
  </si>
  <si>
    <t xml:space="preserve">Additional deck = extended deck &amp; shed base scope. Ryan split INV-0293 into £800 curves + £1,050 additional deck on 9 Oct.</t>
  </si>
  <si>
    <t xml:space="preserve">Toolstation Ltd (bought by Luke, on his card)</t>
  </si>
  <si>
    <t xml:space="preserve">YAC545477716</t>
  </si>
  <si>
    <t xml:space="preserve">Toolstation — Freud mitre saw blade (£71.99), ROKTOR HSS drill bits (£2.99), DeWalt circular saw blade (£9.99) (named purpose #33)</t>
  </si>
  <si>
    <t xml:space="preserve">Cash (reimbursed to Luke)</t>
  </si>
  <si>
    <t xml:space="preserve">Ordered 6 Oct and paid by Luke by card (£70.80 + £14.17 VAT); Luke repaid in cash by Ryan on 13 Oct. Tools will be used throughout the project.</t>
  </si>
  <si>
    <t xml:space="preserve">Saw blades and drill bits — scope set as Main deck by Ryan 13 Oct, although they will be used throughout the project.</t>
  </si>
  <si>
    <t xml:space="preserve">INV-0294 (driveway channel)</t>
  </si>
  <si>
    <t xml:space="preserve">Driveway channel — lift cobbles, dig waste channel for the water-softener discharge, reinstate cobbles; half a day, Luke and Max, 14 Oct (named purpose #35); part of LG INV-0294</t>
  </si>
  <si>
    <t xml:space="preserve">LG invoice INV-0294, £1,350 in total (no VAT), issued, due and paid 17 Oct 2026 for the extra work as discussed; paid in full by bank transfer. Full price, no cash discount.</t>
  </si>
  <si>
    <t xml:space="preserve">Ryan split INV-0294 on 17 Oct: £350 driveway channel (half day, Luke and Max, Gantt task 3.1) + £1,000 extra decking labour. Drawn from Contingency.</t>
  </si>
  <si>
    <t xml:space="preserve">INV-0294 (extra decking)</t>
  </si>
  <si>
    <t xml:space="preserve">Extra decking labour — extended deck &amp; shed base (named purpose #36); part of LG INV-0294</t>
  </si>
  <si>
    <t xml:space="preserve">Ryan split INV-0294 on 17 Oct: £350 driveway channel + £1,000 extra decking labour (extended deck &amp; shed base scope).</t>
  </si>
  <si>
    <t xml:space="preserve">INV842429677</t>
  </si>
  <si>
    <t xml:space="preserve">Stornch outdoor pipe insulation, 2m x 22mm bore x 19mm thick, 7 pieces at £21.14 (£147.98 + £29.60 VAT; free delivery) — pipe lagging for the outside tap/pipework (named purpose #37)</t>
  </si>
  <si>
    <t xml:space="preserve">Card (Ryan)</t>
  </si>
  <si>
    <t xml:space="preserve">Online order placed and paid by Ryan's card on Tue 20 Oct 2026; order confirmation #INV842429677. Delivery date to follow by email. Drawn from Contingency.</t>
  </si>
  <si>
    <t xml:space="preserve">Pipe lagging for the outside tap/pipework (Gantt 2.4, Gate 3). Scope set as site-wide (main deck) by Ryan 20 Oct.</t>
  </si>
  <si>
    <t xml:space="preserve">QUO-0040</t>
  </si>
  <si>
    <t xml:space="preserve">V4 — materials to complete the decking substructure, delivered Mon 19 Oct (quote/invoice QUO-0040) (named purpose #38)</t>
  </si>
  <si>
    <t xml:space="preserve">Card</t>
  </si>
  <si>
    <t xml:space="preserve">V4 delivery arrived Mon 19 Oct to complete the decking substructure; QUO-0040 paid by card to V4 on Thu 22 Oct 2026. Drawn from Contingency.</t>
  </si>
  <si>
    <t xml:space="preserve">Scope set as Extended deck &amp; shed base by Ryan 22 Oct; some of the Plas-Pro will likely be used on the main decking.</t>
  </si>
  <si>
    <t xml:space="preserve">Cash payment (no invoice number)</t>
  </si>
  <si>
    <t xml:space="preserve">Whole-house soft wash — gutters, soffits, roof tiles, roof solar panels, render, windows etc. (named purpose #34)</t>
  </si>
  <si>
    <t xml:space="preserve">Whole-house soft wash started and finished Mon 19 Oct (very successful); £1,200 paid in cash on the day. Drawn from Contingency. Replaces the earlier chimney + coping-only soft wash (Gantt 1.6).</t>
  </si>
  <si>
    <t xml:space="preserve">Whole house, so not split between projects.</t>
  </si>
  <si>
    <t xml:space="preserve">Cost Lines — every line item from LG estimates and the V4 invoice</t>
  </si>
  <si>
    <t xml:space="preserve">Source documents: LG chimney estimate 2 Jun 2026 · LG coping estimate 3 Jun 2026 · LG decking estimate 3 Jun 2026 · V4 invoice V4FQ-15584, 9 Jul 2026. · V4 quote #QUO-0031, actioned 29 Sep (Contingency named purpose #24). · TP invoices #5/#6/#11/#17/#18/#19 and TFP 0001458792 added 3 Oct.</t>
  </si>
  <si>
    <t xml:space="preserve">Line item</t>
  </si>
  <si>
    <t xml:space="preserve">Qty</t>
  </si>
  <si>
    <t xml:space="preserve">Unit £</t>
  </si>
  <si>
    <t xml:space="preserve">Line total £</t>
  </si>
  <si>
    <t xml:space="preserve">VAT</t>
  </si>
  <si>
    <t xml:space="preserve">Payment route</t>
  </si>
  <si>
    <t xml:space="preserve">LG Building</t>
  </si>
  <si>
    <t xml:space="preserve">Labour — remove render, k-rend sealer, base + top coat, render crown, storm-dry cream</t>
  </si>
  <si>
    <t xml:space="preserve">No VAT</t>
  </si>
  <si>
    <t xml:space="preserve">LG invoice</t>
  </si>
  <si>
    <t xml:space="preserve">INVOICED 24 Jul (INV-0286), full price £3,200 less £111.70 prepaid = £3,088.30. Non-cash, so 10% discount does not apply. Rubbish removal £80 outstanding.</t>
  </si>
  <si>
    <t xml:space="preserve">Scaffolder (direct)</t>
  </si>
  <si>
    <t xml:space="preserve">Tubular scaffolding — all four sides of chimney and crown</t>
  </si>
  <si>
    <t xml:space="preserve">Inc VAT</t>
  </si>
  <si>
    <t xml:space="preserve">Paid directly</t>
  </si>
  <si>
    <t xml:space="preserve">Combined £3,200, cash terms (20 Jul): £2,000 paid following erection; £1,200 balance on strike.</t>
  </si>
  <si>
    <t xml:space="preserve">Materials (chimney estimate — pooled 20 Jul)</t>
  </si>
  <si>
    <t xml:space="preserve">Trade accounts — cleared on receipts</t>
  </si>
  <si>
    <t xml:space="preserve">Rubbish removal</t>
  </si>
  <si>
    <t xml:space="preserve">TRANSFERRED 10 Aug to pooled Rubbish removal (skips) fund — family now supplies skips directly rather than Luke arranging disposal. No longer owed to Luke.</t>
  </si>
  <si>
    <t xml:space="preserve">Labour — remove/reset copings, slate cap, render, lead flashings to parapet rear</t>
  </si>
  <si>
    <t xml:space="preserve">CONFIRMED 7 Aug, based on original £3,800 quote: 50% cash (£1710.00 @ 10% discount) due same day, 50% invoiced (£1900.00 full price) due next week, timed after back gutters are complete — see Invoicing Schedule. RISK: coping-stone damage on removal could substantially increase cost. Condensation-prep addition (£250) reclassified to Contingency 13 Aug — no longer part of this total.</t>
  </si>
  <si>
    <t xml:space="preserve">Tubular scaffolding with winch system</t>
  </si>
  <si>
    <t xml:space="preserve">Materials (coping estimate — pooled 20 Jul)</t>
  </si>
  <si>
    <t xml:space="preserve">TRANSFERRED 10 Aug to pooled Rubbish removal (skips) fund. Removed from next week's invoice (now £1,900, not £1,980).</t>
  </si>
  <si>
    <t xml:space="preserve">Labour — remove old decking &amp; frame, construct composite frame, install deck to spec</t>
  </si>
  <si>
    <t xml:space="preserve">RISK: pending structure/ground assessment. Cash payments get the 10% discount (same as chimney/coping) — only invoiced stages are full price. Progress: Stage 1 (£4,400) invoiced 20 Aug + two £2,000 cash instalments (4 Sep, 18 Sep) — £8,400 cash paid to date, £8,844.44 quoted value retired, £8,755.56 quoted value remaining.</t>
  </si>
  <si>
    <t xml:space="preserve">Rubbish removal (8-yard skips ×2, possibly 3)</t>
  </si>
  <si>
    <t xml:space="preserve">TRANSFERRED 10 Aug to pooled Rubbish removal (skips) fund.</t>
  </si>
  <si>
    <t xml:space="preserve">V4 Wood Flooring</t>
  </si>
  <si>
    <t xml:space="preserve">Millboard Ashwood 176mm Moulded Lastane (144.90 m²)</t>
  </si>
  <si>
    <t xml:space="preserve">In net</t>
  </si>
  <si>
    <t xml:space="preserve">V4 invoice — PAID</t>
  </si>
  <si>
    <t xml:space="preserve">Millboard Ashwood Moulded Lastane — MFN360H</t>
  </si>
  <si>
    <t xml:space="preserve">Millboard Ashwood Moulded Lastane — MEBB360H (flexible bullnose)</t>
  </si>
  <si>
    <t xml:space="preserve">For curved upper level</t>
  </si>
  <si>
    <t xml:space="preserve">Millboard Step Edge — Ashwood Moulded Lastane</t>
  </si>
  <si>
    <t xml:space="preserve">Stainless steel screws 45mm — boxes</t>
  </si>
  <si>
    <t xml:space="preserve">Durafix Trimhead 35mm SS screws — box of 100 (FT35P100)</t>
  </si>
  <si>
    <t xml:space="preserve">Plas-Pro bearer/joist black 3.0m 50×125mm composite (P1205B300)</t>
  </si>
  <si>
    <t xml:space="preserve">Subframe — the bulk of the tonnage</t>
  </si>
  <si>
    <t xml:space="preserve">Subframe hexhead screws — box of 50 (FH90P050)</t>
  </si>
  <si>
    <t xml:space="preserve">Original 16 boxes delivered in full, confirmed 12 Aug. TOP-UP REQUESTED 20 Aug: Luke has asked for 15 more boxes (same item, FH90P050) — substructure screw consumption running ahead of the original estimate. Not yet ordered/invoiced. Estimated cost £141.66 inc VAT (15 x £7.87 + 20% VAT, matching original per-unit price) — treat as V4 Phase 3 once ordered. Not yet added to committed total.</t>
  </si>
  <si>
    <t xml:space="preserve">Millboard touch-up paint — Ashwood (AP500H)</t>
  </si>
  <si>
    <t xml:space="preserve">Millboard multi-spacer — pack of 10 (FP36P010)</t>
  </si>
  <si>
    <t xml:space="preserve">VAT on order</t>
  </si>
  <si>
    <t xml:space="preserve">Net £26,857.49 + VAT = £32,228.99</t>
  </si>
  <si>
    <t xml:space="preserve">Contingency pot — fence labour, garage drainage, curved-deck labour, cement &amp; bricks, coping condensation-prep (£250, reclassified 13 Aug). Soakaway fix cancelled 1 Sep, nothing drawn. Pipe investigation resolved 4 Sep — no leak, no repair needed, no draw required.</t>
  </si>
  <si>
    <t xml:space="preserve">As incurred</t>
  </si>
  <si>
    <t xml:space="preserve">Track on Contingency Drawdown sheet. Labour invoices from this pot at 10% discount (extended 20 Jul); materials (cement/bricks) full price. Curved-decking extra labour: discount status TBC with Luke. Coping condensation-prep (£250) added as named purpose #6, 13 Aug — payment method (cash vs invoice) pending confirmation.</t>
  </si>
  <si>
    <t xml:space="preserve">Named purpose #6 — Coping condensation-escape prep: re-bed 3 bricks; reinforce parapet corners with fibreglass mesh; fit 4 weep holes to front face above internal damp-course membrane (slate DPC capped in plastic DPM). Reclassified from Coping 13 Aug — same item, moved to keep coping's committed total accurate rather than inflate it.</t>
  </si>
  <si>
    <t xml:space="preserve">Contingency drawdown</t>
  </si>
  <si>
    <t xml:space="preserve">PRICED 13 Aug via Luke's invoice INV-0288: £250. Terms originally agreed as 100% cash; confirmed 14 Aug instead paid via bank transfer, bundled with the coping £1,900 balance. PAID 14 Aug.</t>
  </si>
  <si>
    <t xml:space="preserve">Named purpose #7 — Chimney cowl upgrade: 5" Stainless Steel Chimney Pot Hanger Cowl (order #147399), replaces original spec</t>
  </si>
  <si>
    <t xml:space="preserve">Paid direct by Ryan (project account)</t>
  </si>
  <si>
    <t xml:space="preserve">Decision logged 7 Aug (stainless steel, prevent rusting). Cost finalised 10 Aug, received 12 Aug, fitted 17 Aug. RECLASSIFIED 17 Aug from Chimney to Contingency — genuine scope addition beyond the original quote, same treatment as coping condensation-prep (#6). Paid direct by Ryan.</t>
  </si>
  <si>
    <t xml:space="preserve">Luke's Travis Perkins account materials, 3 invoices 17 Jul-5 Aug (render/masonry consumables + lead flashing) — pooled with chimney+coping materials, same simplified treatment as Dry Lining Supplies.</t>
  </si>
  <si>
    <t xml:space="preserve">Reimbursement to Luke</t>
  </si>
  <si>
    <t xml:space="preserve">SIMPLIFIED 18 Aug: previously split chimney/coping 50/50 — now pooled as one line, consistent with how Dry Lining Supplies purchases were always treated (not split by workstream). DPC roll (£26.42) stays separately in Contingency (purpose #6, condensation-prep) as it's additional scope, not pool materials.</t>
  </si>
  <si>
    <t xml:space="preserve">(merged into row above, 18 Aug)</t>
  </si>
  <si>
    <t xml:space="preserve">RECLASSIFIED 17 Aug: lead flashing reattributed from chimney to coping (original quote explicitly scopes 'lead flashings to parapet rear' under coping's labour). Both items within originally-quoted scope, so routed through Materials pool per agreed rule rather than Coping's own Cost Lines.</t>
  </si>
  <si>
    <t xml:space="preserve">Named purpose #8 — V4 screw top-up: 15 more boxes of Timberfix structural subframe screws (FH90P050), quote V4FQ-17702</t>
  </si>
  <si>
    <t xml:space="preserve">Requested by Luke 20 Aug, ordered 24 Aug, PAID. Substructure screw consumption ran ahead of the original 16-box estimate. Same item/supplier as the original V4 order, but treated as an additional-scope purchase per Ryan's direction — routed through Contingency rather than inflating the Decking materials (V4) line, which stays matched to its original proforma.</t>
  </si>
  <si>
    <t xml:space="preserve">Named purpose #9 — V4 screw top-up #2: 15 more boxes of Timberfix structural subframe screws (FH90P050), separate order from purpose #8</t>
  </si>
  <si>
    <t xml:space="preserve">Paid, delivery scheduled 11 Sep</t>
  </si>
  <si>
    <t xml:space="preserve">PAID 10 Sep — invoice received. £141.66 used (matching purpose #8's confirmed rate: 15 x £7.87 + 20% VAT) — no invoice number/exact figure given this time, so this is inferred from the established pattern rather than confirmed from a document. Flag if the actual invoice differs. Delivery scheduled 11 Sep.</t>
  </si>
  <si>
    <t xml:space="preserve">Plant hire company (TBC)</t>
  </si>
  <si>
    <t xml:space="preserve">Named purpose #10 — digger + barrow loader hire, one week (on hire until Thu 10 Sep). Mixed purpose: excavation for decking widening, side (a), AND new shed area, perpendicular to side (a)</t>
  </si>
  <si>
    <t xml:space="preserve">Estimate</t>
  </si>
  <si>
    <t xml:space="preserve">On hire, not yet invoiced</t>
  </si>
  <si>
    <t xml:space="preserve">8 Sep: digger on hire until Thursday, used for both the side (a) decking excavation and the new shed area excavation. Cost is an estimate ("should be about £530") — actual invoice will confirm. Genuinely mixed-purpose, doesn't cleanly split between the two uses.</t>
  </si>
  <si>
    <t xml:space="preserve">TBC (cash)</t>
  </si>
  <si>
    <t xml:space="preserve">Old decking substructure wood collection — PAID 11 Sep, £680 cash (was estimated £350; charged per trip, 2 trips)</t>
  </si>
  <si>
    <t xml:space="preserve">Original £350 estimate corrected 11 Sep — supplier charges per trip, and 2 trips were needed for this volume of wood. Same job, not a separate charge. From the decking quote scope, so pooled here per Ryan's confirmation.</t>
  </si>
  <si>
    <t xml:space="preserve">Labour — gutter replacement (both parapet sides + lower rear elevation), fascia/soffit extension, slate replacement, barge board trim</t>
  </si>
  <si>
    <t xml:space="preserve">Estimate dated 4 Sep. Started 29 Sep. INV-0291 (2 Oct, £1,600, no VAT, labour only) confirmed correct and PAID 3 Oct by bank transfer — full price, so no cash discount applies. Matches the labour line of the estimate exactly.</t>
  </si>
  <si>
    <t xml:space="preserve">Scaffolding — portable tower</t>
  </si>
  <si>
    <t xml:space="preserve">Not required</t>
  </si>
  <si>
    <t xml:space="preserve">Per estimate 4 Sep. NOT REQUIRED — Luke used his own ladder, so no tower was hired or paid (confirmed 3 Oct). Shown at £0 actual; the £150 benefit offsets the £40.40 of additional materials (net £109.60 under the £2,100 budget). The quote itself stays at £2,140.</t>
  </si>
  <si>
    <t xml:space="preserve">Materials</t>
  </si>
  <si>
    <t xml:space="preserve">Invoice SI19670857 (Graham, 29 Sep): £256.78 (Net £213.98 + VAT £42.80). Luke topped up with £3.22 coin to round to £260 cash, which Ryan paid to Luke 29 Sep. Replaces the generic £350 materials estimate — further materials invoices may follow as the job extends to other elevations.</t>
  </si>
  <si>
    <t xml:space="preserve">Roofline works rubbish removal — £40, paid directly per the 4 Sep estimate. Reclassified from Roofline works into the pooled fund, avoiding a separate cost centre for what is genuinely the same category of waste-removal spend.</t>
  </si>
  <si>
    <t xml:space="preserve">Expected — not yet incurred</t>
  </si>
  <si>
    <t xml:space="preserve">Per estimate 4 Sep. RECLASSIFIED 8 Sep from Roofline works into the pooled Rubbish removal fund — same rationale as the other pooled items (chimney/coping/decking rubbish already share this fund). Not yet incurred as of 9 Oct (no rubbish removal invoice received) — expected, not drawn.</t>
  </si>
  <si>
    <t xml:space="preserve">Named purpose #11 — extra digging: wider deck gate area (1 day x2 people) + additional deck/shed area (1 day x2 people)</t>
  </si>
  <si>
    <t xml:space="preserve">Cash (10% disc.)</t>
  </si>
  <si>
    <t xml:space="preserve">Quoted £1,400, cash-discounted to £1,260. Tied to tasks 2.2 (wider gate area) + 2.6 (shed/additional deck) — mixed purpose, doesn't cleanly split between the two. Part of Luke's 11 Sep extras invoice, £2,115 total across 4 items.</t>
  </si>
  <si>
    <t xml:space="preserve">Named purpose #12 — cleanup after machines (2hrs) + dig up small tree (2hrs)</t>
  </si>
  <si>
    <t xml:space="preserve">Quoted £200, cash-discounted to £180. Tied to tasks 2.2/2.6 excavation cleanup. Small tree dig — distinct from task 3.4's external tree/bush clearing company. Part of the same 11 Sep extras invoice.</t>
  </si>
  <si>
    <t xml:space="preserve">Named purpose #13 — fence move, chimney side (side a boundary reclaim from neighbour, to enable the wider decking area)</t>
  </si>
  <si>
    <t xml:space="preserve">Quoted £700 for 'move fence and do spurs to make a full day', but spurs (task 3.3, side b) did NOT happen — only £350 charged for the fence move itself, cash-discounted to £315. NOT the same fence as 3.3 (side b, concrete spurs) or 3.5 (TPO/tree-dependent). New task — see Gantt.</t>
  </si>
  <si>
    <t xml:space="preserve">Named purpose #14 — extra frame for wider deck gate area (1 person; no extra charge for boarding)</t>
  </si>
  <si>
    <t xml:space="preserve">Quoted £400, cash-discounted to £360. Tied to task 2.2 (decking side a widening substructure/framing).</t>
  </si>
  <si>
    <t xml:space="preserve">Named purpose #15 — V4 screw top-up #3: additional screws (V4 invoice #336484)</t>
  </si>
  <si>
    <t xml:space="preserve">Invoiced</t>
  </si>
  <si>
    <t xml:space="preserve">Invoiced, unpaid — due 12 Oct</t>
  </si>
  <si>
    <t xml:space="preserve">V4 Woodflooring Limited invoice #336484 (via Xero, from Jon), £47.22 GBP, due 12 Oct 2026, 'additional screws'. STILL UNPAID as at 17 Oct. Replaces the earlier £141.66 estimate (15 boxes at the established £7.87 + VAT rate). Invoice date and box count not shown on the notice. Logged in Cost Lines only: no Register row until paid.</t>
  </si>
  <si>
    <t xml:space="preserve">Named purpose #16 — Invoice 1049651867 (18 Aug): Mastercrete cement 25kg x12</t>
  </si>
  <si>
    <t xml:space="preserve">Paid 5 Oct (card, TP settlement)</t>
  </si>
  <si>
    <t xml:space="preserve">On Luke's TP trade account (NH4276), Net Monthly terms. Paid 5 Oct by card as part of the TP settlement.</t>
  </si>
  <si>
    <t xml:space="preserve">Named purpose #16 — Invoice 1049651867 (18 Aug): Trend Craft Blade CC 305mm</t>
  </si>
  <si>
    <t xml:space="preserve">Same invoice/account as above. Paid 5 Oct by card as part of the TP settlement.</t>
  </si>
  <si>
    <t xml:space="preserve">Named purpose #17 — Invoice 1049757851 (19 Aug): Shuttering plywood 18mm CE2</t>
  </si>
  <si>
    <t xml:space="preserve">Named purpose #17 — Invoice 1049757851 (19 Aug): Dewalt drill bit</t>
  </si>
  <si>
    <t xml:space="preserve">Named purpose #17 — Invoice 1049757851 (19 Aug): Stick-Fit woodscrews 5.0x80mm x200</t>
  </si>
  <si>
    <t xml:space="preserve">Named purpose #17 — Invoice 1049757851 (19 Aug): Wonder Grip gloves size 9</t>
  </si>
  <si>
    <t xml:space="preserve">Named purpose #18 — Invoice 1049844268 (20 Aug): Ballast bulk bag</t>
  </si>
  <si>
    <t xml:space="preserve">Named purpose #18 — Invoice 1049844268 (20 Aug): Mastercrete cement 25kg x10</t>
  </si>
  <si>
    <t xml:space="preserve">Named purpose #18 — Invoice 1049844268 (20 Aug): Solid dense block 100mm x72</t>
  </si>
  <si>
    <t xml:space="preserve">Printed unit rate on the invoice (£21.15/TN) doesn't reconcile to the £152.28 net charged for 72 blocks — effective rate is £2.115/block. Likely a mislabelled unit on the supplier's invoice; the charged total is internally consistent. Paid 5 Oct by card as part of the TP settlement.</t>
  </si>
  <si>
    <t xml:space="preserve">Named purpose #18 — Invoice 1049844268 (20 Aug): Block pallet deposit — REFUNDABLE</t>
  </si>
  <si>
    <t xml:space="preserve">REFUNDABLE when pallet returned — not a final cost. Flagged here so it isn't forgotten; should be reversed out once returned/confirmed. Paid 5 Oct by card as part of the TP settlement.</t>
  </si>
  <si>
    <t xml:space="preserve">Named purpose #18 — Invoice 1049844268 (20 Aug): Ballast bulk bag (2nd)</t>
  </si>
  <si>
    <t xml:space="preserve">Named purpose #19 — Invoice 1049844267 (20 Aug): Broadfix flat packers, tub of 300</t>
  </si>
  <si>
    <t xml:space="preserve">Named purpose #20 — Invoice 1050903283 (8 Sep): Shuttering plywood 12mm CE2 x2</t>
  </si>
  <si>
    <t xml:space="preserve">Named purpose #20 — Invoice 1050903283 (8 Sep): Prosolve line marker</t>
  </si>
  <si>
    <t xml:space="preserve">Named purpose #10 (UPDATED) — Invoice 1051011143 (9 Sep): 1.5T excavator, 1 week hire</t>
  </si>
  <si>
    <t xml:space="preserve">Actual invoice received — corrects the earlier £530 estimate. No barrow loader charge appears on this invoice anywhere — flagged, not assumed either hired-but-unbilled or genuinely not needed. Paid 5 Oct by card as part of the TP settlement.</t>
  </si>
  <si>
    <t xml:space="preserve">Named purpose #10 (UPDATED) — Invoice 1051011143 (9 Sep): Loss and damage waiver, 1 week</t>
  </si>
  <si>
    <t xml:space="preserve">Same invoice as above. Paid 5 Oct by card as part of the TP settlement.</t>
  </si>
  <si>
    <t xml:space="preserve">Named purpose #10 (UPDATED) — Invoice 1051011143 (9 Sep): Diesel, 12L</t>
  </si>
  <si>
    <t xml:space="preserve">Named purpose #10 (UPDATED) — Invoice 1051011143 (9 Sep): Transport, delivered</t>
  </si>
  <si>
    <t xml:space="preserve">Named purpose #10 (UPDATED) — Invoice 1051011143 (9 Sep): Transport, collected</t>
  </si>
  <si>
    <t xml:space="preserve">Named purpose #21 — Invoice 1051072869 (10 Sep): Ballast bulk bag</t>
  </si>
  <si>
    <t xml:space="preserve">Named purpose #21 — Invoice 1051072869 (10 Sep): Mastercrete cement 25kg x5</t>
  </si>
  <si>
    <t xml:space="preserve">Named purpose #22 — Invoice 1051162218 (11 Sep): Wonder Grip gloves (L) + Stick-Fit woodscrews 5.0x40mm x200</t>
  </si>
  <si>
    <t xml:space="preserve">On Luke's TP trade account (NH4276). Paid 5 Oct by card as part of the TP settlement.</t>
  </si>
  <si>
    <t xml:space="preserve">Named purpose #23 — Invoice 1051142985 (11 Sep), FENCE MATERIALS: BSW Sawn Green Treated 22x150mm x3.0m (qty 3)</t>
  </si>
  <si>
    <t xml:space="preserve">Named purpose #23 — Invoice 1051142985 (11 Sep), FENCE MATERIALS: Green Treated UC4 Fence Post 100x100mm x3.0m (qty 3)</t>
  </si>
  <si>
    <t xml:space="preserve">Named purpose #23 — Invoice 1051142985 (11 Sep), FENCE MATERIALS: Pegs Pointed Sawn Treated 47x50mm x0.6m (qty 4)</t>
  </si>
  <si>
    <t xml:space="preserve">Named purpose #23 — Invoice 1051142985 (11 Sep), FENCE MATERIALS: Blue Circle Postcrete 20kg (qty 6)</t>
  </si>
  <si>
    <t xml:space="preserve">Named purpose #23 — Invoice 1051142985 (11 Sep), FENCE MATERIALS: Treated Timber 25x50mm x4.8m (qty 1)</t>
  </si>
  <si>
    <t xml:space="preserve">Named purpose #23 — Invoice 1051142985 (11 Sep), FENCE MATERIALS: 4Trade Arris Rail Fixing Bracket Galvanised (qty 18)</t>
  </si>
  <si>
    <t xml:space="preserve">Named purpose #23 — Invoice 1051142985 (11 Sep), FENCE MATERIALS: Wonder Grip Duo Gloves (XL) (qty 1)</t>
  </si>
  <si>
    <t xml:space="preserve">Named purpose #4 — additional curved-decking labour: preparing curved structures for the top level of decking. AGREED 24 Sep at £1,000 full price / £900 cash; INVOICED 9 Oct as £800 on INV-0293 (the curves), paid by bank transfer.</t>
  </si>
  <si>
    <t xml:space="preserve">Paid 9 Oct (bank transfer)</t>
  </si>
  <si>
    <t xml:space="preserve">Luke billed £800 for the curves rather than the £1,000 agreed on 24 Sep; the other £200 is not expected unless Luke bills it later. Paid in full price by bank transfer, so no cash discount. See Invoice Register (INV-0293).</t>
  </si>
  <si>
    <t xml:space="preserve">Named purpose #24 — Millboard Enhanced Grain 176mm Ashwood decking boards (MDE176H)</t>
  </si>
  <si>
    <t xml:space="preserve">V4 (quote QUO-0031) — PAID by phone 29 Sep</t>
  </si>
  <si>
    <t xml:space="preserve">For the new shed-area / expanded decking scope</t>
  </si>
  <si>
    <t xml:space="preserve">Named purpose #24 — Plas-Pro Bearer, sub-frame (P1205B300)</t>
  </si>
  <si>
    <t xml:space="preserve">Named purpose #24 — Hexhead Screws 6.3x90mm, box of 50 (FH90P050)</t>
  </si>
  <si>
    <t xml:space="preserve">Same unit price as the original July order — unchanged</t>
  </si>
  <si>
    <t xml:space="preserve">Named purpose #24 — Bullnose Board Ashwood (MEBB360H)</t>
  </si>
  <si>
    <t xml:space="preserve">Named purpose #24 — DuoSpan 99 Flexible Bracket Sets, 10/box (K99FP010)</t>
  </si>
  <si>
    <t xml:space="preserve">For the curved sections</t>
  </si>
  <si>
    <t xml:space="preserve">Named purpose #24 — DuoSpan-to-Plas-Pro Screws 5x25mm, 100/box (FD25P100)</t>
  </si>
  <si>
    <t xml:space="preserve">Named purpose #24 — Flexible Bullnose Step Edge Ashwood (MEBF50H)</t>
  </si>
  <si>
    <t xml:space="preserve">Qty 3 supplied vs 5 originally requested by Luke — flagged, not resolved</t>
  </si>
  <si>
    <t xml:space="preserve">Named purpose #24 — VAT on order</t>
  </si>
  <si>
    <t xml:space="preserve">Net £4,435.61 + VAT £887.13 = £5,322.74. Quote #QUO-0031 (28 Sep), actioned and paid by phone with Jon 29 Sep — no formal invoice/order confirmation received, quote number used as reference. Delivery expected 30 Sep or 1 Oct. Routed to Contingency (not Decking materials) per Ryan's steer 29 Sep: this order covers the EXPANDED scope — new shed-area decking plus the extra area freed up by the fence move — not the original quoted decking scope. This single draw alone exceeds the £5,000 Contingency pot; logged in full, not capped or hidden. See Contingency Drawdown sheet.</t>
  </si>
  <si>
    <t xml:space="preserve">Graham (Plumbers' Merchant)</t>
  </si>
  <si>
    <t xml:space="preserve">Materials — Union Bracket (RUH1BL), additional guttering fitting</t>
  </si>
  <si>
    <t xml:space="preserve">Invoice SI19687572, 30 Sep. Reimbursed to Luke in cash 2 Oct as part of £90.</t>
  </si>
  <si>
    <t xml:space="preserve">The Fascia Place (TFP)</t>
  </si>
  <si>
    <t xml:space="preserve">Materials — fascia board, soffit board, fascia joints, soffit trim (white)</t>
  </si>
  <si>
    <t xml:space="preserve">Invoice 0001458493, 30 Sep. Payment received with thanks (per invoice). Reimbursed to Luke in cash 2 Oct as part of £90.</t>
  </si>
  <si>
    <t xml:space="preserve">Luke</t>
  </si>
  <si>
    <t xml:space="preserve">Cash rounding / coin top-up to make up £90 cash, covering invoices SI19687572 + 0001458493</t>
  </si>
  <si>
    <t xml:space="preserve">Rounding</t>
  </si>
  <si>
    <t xml:space="preserve">Luke provided coins so the combined £87.75 across both invoices rounded to £90 cash. Paid 2 Oct.</t>
  </si>
  <si>
    <t xml:space="preserve">Materials — 250mm x 9mm pre-vented soffit board, white (SM250WV). Invoice 0001458792 (1 Oct)</t>
  </si>
  <si>
    <t xml:space="preserve">Net £33.67 + VAT £6.73. Invoice marked 'payment received' (Luke paid at TP counter). Reimbursed to Luke in cash 2 Oct. Roofline materials to date £390.40 cash vs the £350 allowance (£40.40 over).</t>
  </si>
  <si>
    <t xml:space="preserve">Named purpose #25 — Invoice 1049231418 (11 Aug): Sharp/grit sand trade pack</t>
  </si>
  <si>
    <t xml:space="preserve">Paid 11 Sep (from £500 TP receipt)</t>
  </si>
  <si>
    <t xml:space="preserve">On Luke's TP trade account (NH4276), Net Monthly terms. Cleared by the £500 TP receipt of 11 Sep.</t>
  </si>
  <si>
    <t xml:space="preserve">Named purpose #25 — Invoice 1049231418 (11 Aug): Building sand trade pack</t>
  </si>
  <si>
    <t xml:space="preserve">Same invoice/account as above.</t>
  </si>
  <si>
    <t xml:space="preserve">Named purpose #25 — Invoice 1049231418 (11 Aug): Blue Circle Snowcrete white Portland cement 25kg</t>
  </si>
  <si>
    <t xml:space="preserve">Named purpose #25 — Invoice 1049231418 (11 Aug): Bosch Pro multi-material demolition blade (5 pcs)</t>
  </si>
  <si>
    <t xml:space="preserve">Named purpose #26 — Invoice 1049595624 (17 Aug): Ballast bulk bag</t>
  </si>
  <si>
    <t xml:space="preserve">Paid: £247.01 on 11 Sep, £100.11 on 5 Oct (card)</t>
  </si>
  <si>
    <t xml:space="preserve">On Luke's TP trade account (NH4276), Net Monthly terms. Part payment of £247.01 inferred by elimination from TP's CSV; the £100.11 balance was paid by card on 5 Oct (TP settlement).</t>
  </si>
  <si>
    <t xml:space="preserve">Named purpose #26 — Invoice 1049595624 (17 Aug): Building sand bulk bag</t>
  </si>
  <si>
    <t xml:space="preserve">Named purpose #26 — Invoice 1049595624 (17 Aug): Solid dense block 100mm 7.3N</t>
  </si>
  <si>
    <t xml:space="preserve">Named purpose #27 — Invoice 1050655200 (03 Sep): Ballast bulk bag</t>
  </si>
  <si>
    <t xml:space="preserve">Named purpose #27 — Invoice 1050655200 (03 Sep): Mastercrete cement 25kg</t>
  </si>
  <si>
    <t xml:space="preserve">Named purpose #28 — Invoice 1051287675 (14 Sep): Tracked dumper 500kg, 7 days (2–8 Sep)</t>
  </si>
  <si>
    <t xml:space="preserve">Named purpose #28 — Invoice 1051287675 (14 Sep): Loss and damage waiver</t>
  </si>
  <si>
    <t xml:space="preserve">Named purpose #28 — Invoice 1051287675 (14 Sep): Wear charge, fleeted refuel</t>
  </si>
  <si>
    <t xml:space="preserve">Named purpose #28 — Invoice 1051287675 (14 Sep): Hire delivery</t>
  </si>
  <si>
    <t xml:space="preserve">Named purpose #28 — Invoice 1051287675 (14 Sep): Hire collection</t>
  </si>
  <si>
    <t xml:space="preserve">Named purpose #29 — Invoice 1051688095 (21 Sep): Solid dense block 100mm</t>
  </si>
  <si>
    <t xml:space="preserve">Named purpose #29 — Invoice 1051688095 (21 Sep): Blue Circle Mastercrete cement 25kg</t>
  </si>
  <si>
    <t xml:space="preserve">Named purpose #29 — Invoice 1051688095 (21 Sep): Minotaur rubber mallet 16oz</t>
  </si>
  <si>
    <t xml:space="preserve">Named purpose #29 — Invoice 1051688095 (21 Sep): Prosolve line marker 750ml</t>
  </si>
  <si>
    <t xml:space="preserve">Named purpose #30 — Invoice 1051708772 (21 Sep): Solid dense block 100mm</t>
  </si>
  <si>
    <t xml:space="preserve">Named purpose #31 — additional lead work: chase lead into walls so the gutters work properly (issue found during the Roofline works)</t>
  </si>
  <si>
    <t xml:space="preserve">Work complete Fri 16 Oct — awaiting invoice</t>
  </si>
  <si>
    <t xml:space="preserve">Luke's estimate 2 Oct (WhatsApp), approx £200; job completed Fri 16 Oct (lead flashing confirmed included). Additional scope arising from the Roofline works, to be drawn from Contingency (Ryan, 3 Oct). Gantt task 1.5a — part of Gate 2, must finish before decking boards are laid. Logged in Cost Lines only — not in the Invoice Register or Drawdown until invoiced.</t>
  </si>
  <si>
    <t xml:space="preserve">Named purpose #32 — additional deck labour (extended deck &amp; shed base): the additional decking carried out, part of INV-0293 (curve and additional decking)</t>
  </si>
  <si>
    <t xml:space="preserve">Invoiced 9 Oct as part of INV-0293 (£1,850: £800 curves + £1,050 additional deck) and paid the same day by bank transfer. Separate from the £17,600 main decking labour draws.</t>
  </si>
  <si>
    <t xml:space="preserve">Toolstation Ltd (bought by Luke)</t>
  </si>
  <si>
    <t xml:space="preserve">Named purpose #33 — Invoice YAC545477716 (6 Oct): Freud mitre saw blade</t>
  </si>
  <si>
    <t xml:space="preserve">Paid 13 Oct (cash to Luke)</t>
  </si>
  <si>
    <t xml:space="preserve">Bought by Luke on his card 6 Oct; repaid in cash 13 Oct. Scope Main deck, though the tools will be used throughout.</t>
  </si>
  <si>
    <t xml:space="preserve">Named purpose #33 — Invoice YAC545477716 (6 Oct): ROKTOR HSS titanium multi-material drill bits</t>
  </si>
  <si>
    <t xml:space="preserve">Named purpose #33 — Invoice YAC545477716 (6 Oct): DeWalt construction circular saw blade</t>
  </si>
  <si>
    <t xml:space="preserve">Named purpose #34 — whole-house soft wash: gutters, soffits, roof tiles, roof solar panels, render, windows etc.</t>
  </si>
  <si>
    <t xml:space="preserve">Actual</t>
  </si>
  <si>
    <t xml:space="preserve">£1,200 cash, drawn from Contingency (Ryan, 13 Oct). Starts Mon 19 Oct. Replaces the chimney + coping-only soft wash (Gantt 1.6): cheaper to use a previous supplier for the whole house than to spot clean with Luke. Roofline works were completed Fri 16 Oct, ahead of the soft wash. Logged in Cost Lines only until paid. COMPLETED: started and finished Mon 19 Oct (very successful). PAID £1,200 cash Mon 19 Oct (now in the Invoice Register).</t>
  </si>
  <si>
    <t xml:space="preserve">Named purpose #35 — driveway channel: lift cobbles, dig waste channel, connect water-softener discharge to natural drainage, reinstate cobbles (LG INV-0294)</t>
  </si>
  <si>
    <t xml:space="preserve">Paid 17 Oct (bank transfer)</t>
  </si>
  <si>
    <t xml:space="preserve">Half a day, Luke and Max, Wed 14 Oct (Gantt task 3.1). Part of LG INV-0294 (£1,350, paid 17 Oct). Softener discharge confirmed working; cobbles reinstated.</t>
  </si>
  <si>
    <t xml:space="preserve">Named purpose #36 — extra decking labour, extended deck &amp; shed base (LG INV-0294)</t>
  </si>
  <si>
    <t xml:space="preserve">Extra decking labour, as discussed. Part of LG INV-0294 (£1,350, paid 17 Oct). Luke has not yet agreed any further extended-deck labour.</t>
  </si>
  <si>
    <t xml:space="preserve">Named purpose #37 — Order INV842429677 (20 Oct): Stornch outdoor pipe insulation 2m x 22mm bore x 19mm thick, 7 x £21.14 (£147.98 + £29.60 VAT)</t>
  </si>
  <si>
    <t xml:space="preserve">Paid 20 Oct (Ryan's card)</t>
  </si>
  <si>
    <t xml:space="preserve">Pipe lagging for the outside tap/pipework (Gantt 2.4, Gate 3). Free standard delivery; delivery date to follow. Scope Shared / site-wide (main deck).</t>
  </si>
  <si>
    <t xml:space="preserve">Named purpose #38 — QUO-0040: materials to complete the decking substructure (delivered Mon 19 Oct)</t>
  </si>
  <si>
    <t xml:space="preserve">Paid 22 Oct (card)</t>
  </si>
  <si>
    <t xml:space="preserve">Paid by card to V4 on Thu 22 Oct. Scope Extended deck &amp; shed base; some Plas-Pro will likely be used on the main decking. Itemised lines not yet captured.</t>
  </si>
  <si>
    <t xml:space="preserve">TOTAL (all lines)</t>
  </si>
  <si>
    <t xml:space="preserve">Travis Perkins (TP) account — invoices, payments and settlement</t>
  </si>
  <si>
    <t xml:space="preserve">Luke's TP trade account NH4276. Amounts inc VAT. Built 3 Oct 2026 from the paper invoices and TP's transaction history CSV (2 Oct). Updated 9 Oct 2026: account settled (5 Oct card payment; 6 Oct repayment from Luke).</t>
  </si>
  <si>
    <t xml:space="preserve">Invoice no.</t>
  </si>
  <si>
    <t xml:space="preserve">Balance £</t>
  </si>
  <si>
    <t xml:space="preserve">Cost centre / purpose</t>
  </si>
  <si>
    <t xml:space="preserve">Line items check £ (must be 0.00)</t>
  </si>
  <si>
    <t xml:space="preserve">1–3</t>
  </si>
  <si>
    <t xml:space="preserve">1047678330 / 1047972816 / 1048887075</t>
  </si>
  <si>
    <t xml:space="preserve">17 Jul – 5 Aug</t>
  </si>
  <si>
    <t xml:space="preserve">Render/masonry consumables + lead flashing; DPC roll (grouped, not itemised)</t>
  </si>
  <si>
    <t xml:space="preserve">Materials (pooled) £481.28; Contingency #6 £26.42</t>
  </si>
  <si>
    <t xml:space="preserve">Paid 18 Aug — part of £547.88 settlement (bank transfer)</t>
  </si>
  <si>
    <t xml:space="preserve">4</t>
  </si>
  <si>
    <t xml:space="preserve">1049120278</t>
  </si>
  <si>
    <t xml:space="preserve">Cleaning/finishing consumables (pooled, not itemised)</t>
  </si>
  <si>
    <t xml:space="preserve">5</t>
  </si>
  <si>
    <t xml:space="preserve">Sand, white Snowcrete cement, Bosch blade</t>
  </si>
  <si>
    <t xml:space="preserve">Contingency #25</t>
  </si>
  <si>
    <t xml:space="preserve">Paid 11 Sep from the £500 TP receipt (TP CSV)</t>
  </si>
  <si>
    <t xml:space="preserve">6</t>
  </si>
  <si>
    <t xml:space="preserve">1049595624</t>
  </si>
  <si>
    <t xml:space="preserve">Ballast, building sand (bulk bags), 72 blocks</t>
  </si>
  <si>
    <t xml:space="preserve">Contingency #26</t>
  </si>
  <si>
    <t xml:space="preserve">£247.01 paid 11 Sep from the £500 receipt (inferred by elimination); the £100.11 balance was paid by card 5 Oct.</t>
  </si>
  <si>
    <t xml:space="preserve">7</t>
  </si>
  <si>
    <t xml:space="preserve">Mastercrete cement x12, Trend blade</t>
  </si>
  <si>
    <t xml:space="preserve">Contingency #16</t>
  </si>
  <si>
    <t xml:space="preserve">Paid by card 5 Oct (settlement)</t>
  </si>
  <si>
    <t xml:space="preserve">8</t>
  </si>
  <si>
    <t xml:space="preserve">Plywood 18mm, drill bit, woodscrews, gloves</t>
  </si>
  <si>
    <t xml:space="preserve">Contingency #17</t>
  </si>
  <si>
    <t xml:space="preserve">9</t>
  </si>
  <si>
    <t xml:space="preserve">Broadfix flat packers</t>
  </si>
  <si>
    <t xml:space="preserve">Contingency #19</t>
  </si>
  <si>
    <t xml:space="preserve">10</t>
  </si>
  <si>
    <t xml:space="preserve">Ballast x2, cement x10, 72 blocks, pallet deposit</t>
  </si>
  <si>
    <t xml:space="preserve">Contingency #18</t>
  </si>
  <si>
    <t xml:space="preserve">Includes £30.30 refundable pallet deposit. Paid by card 5 Oct (settlement)</t>
  </si>
  <si>
    <t xml:space="preserve">11</t>
  </si>
  <si>
    <t xml:space="preserve">Ballast x2, Mastercrete x10</t>
  </si>
  <si>
    <t xml:space="preserve">Contingency #27</t>
  </si>
  <si>
    <t xml:space="preserve">12</t>
  </si>
  <si>
    <t xml:space="preserve">Plywood 12mm x2, line marker</t>
  </si>
  <si>
    <t xml:space="preserve">Contingency #20</t>
  </si>
  <si>
    <t xml:space="preserve">13</t>
  </si>
  <si>
    <t xml:space="preserve">Digger hire 3–8 Sep (1.5T excavator)</t>
  </si>
  <si>
    <t xml:space="preserve">Contingency #10</t>
  </si>
  <si>
    <t xml:space="preserve">14</t>
  </si>
  <si>
    <t xml:space="preserve">Ballast, Mastercrete x5</t>
  </si>
  <si>
    <t xml:space="preserve">Contingency #21</t>
  </si>
  <si>
    <t xml:space="preserve">15</t>
  </si>
  <si>
    <t xml:space="preserve">Contingency #23</t>
  </si>
  <si>
    <t xml:space="preserve">The purchase the £500 receipt enabled. Paid by card 5 Oct (settlement)</t>
  </si>
  <si>
    <t xml:space="preserve">16</t>
  </si>
  <si>
    <t xml:space="preserve">Gloves + woodscrews</t>
  </si>
  <si>
    <t xml:space="preserve">Contingency #22</t>
  </si>
  <si>
    <t xml:space="preserve">17</t>
  </si>
  <si>
    <t xml:space="preserve">Tracked dumper hire 2–8 Sep</t>
  </si>
  <si>
    <t xml:space="preserve">Contingency #28</t>
  </si>
  <si>
    <t xml:space="preserve">18</t>
  </si>
  <si>
    <t xml:space="preserve">Blocks x6, cement x4, mallet, line marker</t>
  </si>
  <si>
    <t xml:space="preserve">Contingency #29</t>
  </si>
  <si>
    <t xml:space="preserve">19</t>
  </si>
  <si>
    <t xml:space="preserve">Blocks x20</t>
  </si>
  <si>
    <t xml:space="preserve">Contingency #30</t>
  </si>
  <si>
    <t xml:space="preserve">TOTAL (17 lines = 19 invoices)</t>
  </si>
  <si>
    <t xml:space="preserve">Payments to TP</t>
  </si>
  <si>
    <t xml:space="preserve">Date</t>
  </si>
  <si>
    <t xml:space="preserve">Payment</t>
  </si>
  <si>
    <t xml:space="preserve">Detail</t>
  </si>
  <si>
    <t xml:space="preserve">TP account settlement</t>
  </si>
  <si>
    <t xml:space="preserve">Covers invoices #1–4 (bank transfer)</t>
  </si>
  <si>
    <t xml:space="preserve">TP account receipt</t>
  </si>
  <si>
    <t xml:space="preserve">Ref 3357*NH4276*21439*1; taken from bank 12 Sep. Allocated below (TP transaction history CSV)</t>
  </si>
  <si>
    <t xml:space="preserve">TP settlement payment</t>
  </si>
  <si>
    <t xml:space="preserve">Balance of #6 (£100.11) plus #7–#19 (£2,213.78). Card. Settles the account</t>
  </si>
  <si>
    <t xml:space="preserve">TOTAL PAID TO TP (gross)</t>
  </si>
  <si>
    <t xml:space="preserve">Repayment from Luke</t>
  </si>
  <si>
    <t xml:space="preserve">The part of the 11 Sep £500 that cleared other jobs' invoices (Chris / Wendy), repaid to us</t>
  </si>
  <si>
    <t xml:space="preserve">Repayment</t>
  </si>
  <si>
    <t xml:space="preserve">NET PAID TO TP (gross less repayment)</t>
  </si>
  <si>
    <t xml:space="preserve">How the £500 (11 Sep) was applied — per TP's CSV</t>
  </si>
  <si>
    <t xml:space="preserve">PO ref on invoice</t>
  </si>
  <si>
    <t xml:space="preserve">Amount applied £</t>
  </si>
  <si>
    <t xml:space="preserve">Project invoice?</t>
  </si>
  <si>
    <t xml:space="preserve">1047365656</t>
  </si>
  <si>
    <t xml:space="preserve">CHRIS</t>
  </si>
  <si>
    <t xml:space="preserve">No — other job</t>
  </si>
  <si>
    <t xml:space="preserve">1047453677</t>
  </si>
  <si>
    <t xml:space="preserve">1047531278</t>
  </si>
  <si>
    <t xml:space="preserve">WENDY</t>
  </si>
  <si>
    <t xml:space="preserve">1047531279</t>
  </si>
  <si>
    <t xml:space="preserve">LARA</t>
  </si>
  <si>
    <t xml:space="preserve">Yes — our #5</t>
  </si>
  <si>
    <t xml:space="preserve">Yes — part payment on our #6 (inferred by elimination; CSV does not list #6)</t>
  </si>
  <si>
    <t xml:space="preserve">TOTAL APPLIED</t>
  </si>
  <si>
    <t xml:space="preserve">Check: £500 less total applied (must be 0.00)</t>
  </si>
  <si>
    <t xml:space="preserve">Of which: other jobs (not project spend)</t>
  </si>
  <si>
    <t xml:space="preserve">Of which: this project</t>
  </si>
  <si>
    <t xml:space="preserve">Settlement of our TP involvement — SETTLED 5–6 Oct (approach agreed with Luke, 3 Oct)</t>
  </si>
  <si>
    <t xml:space="preserve">Balance still owing on #6 (invoice less the £247.01 paid 11 Sep)</t>
  </si>
  <si>
    <t xml:space="preserve">Plus: total of invoices #7 to #19</t>
  </si>
  <si>
    <t xml:space="preserve">Less: our £500 used on other jobs' invoices (Wendy / Chris)</t>
  </si>
  <si>
    <t xml:space="preserve">AMOUNT TO SETTLE</t>
  </si>
  <si>
    <t xml:space="preserve">If the £30.30 pallet deposit is refunded (possible credit still to come)</t>
  </si>
  <si>
    <t xml:space="preserve">Net paid in settlement: 5 Oct card payment less 6 Oct repayment from Luke</t>
  </si>
  <si>
    <t xml:space="preserve">Check: amount to settle less net paid in settlement (must be 0.00)</t>
  </si>
  <si>
    <t xml:space="preserve">Check: Invoice Register total for Travis Perkins suppliers less ledger total (must be 0.00)</t>
  </si>
  <si>
    <t xml:space="preserve">Check: total invoiced less net paid to TP — balance outstanding (must be 0.00)</t>
  </si>
  <si>
    <t xml:space="preserve">Covers the 19 invoices held at 3 Oct. Settled in full 5 Oct; any further TP invoices from Luke would be additional.</t>
  </si>
  <si>
    <t xml:space="preserve">TP Spend by Item — combined spend on each material across all TP invoices</t>
  </si>
  <si>
    <t xml:space="preserve">Calculated from the TP Line Items tab. Amounts inc VAT; 'spend' = invoiced, regardless of payment status. First/last dates are invoice dates.</t>
  </si>
  <si>
    <t xml:space="preserve">What's in it</t>
  </si>
  <si>
    <t xml:space="preserve">Spend £ (inc VAT)</t>
  </si>
  <si>
    <t xml:space="preserve">First invoice</t>
  </si>
  <si>
    <t xml:space="preserve">Last invoice</t>
  </si>
  <si>
    <t xml:space="preserve">Invoices (# in TP Account)</t>
  </si>
  <si>
    <t xml:space="preserve">Qty / detail</t>
  </si>
  <si>
    <t xml:space="preserve">Ballast</t>
  </si>
  <si>
    <t xml:space="preserve">Bulk bags</t>
  </si>
  <si>
    <t xml:space="preserve">#6, #10, #11, #14</t>
  </si>
  <si>
    <t xml:space="preserve">6 bulk bags (~£82.19 each)</t>
  </si>
  <si>
    <t xml:space="preserve">Concrete blocks</t>
  </si>
  <si>
    <t xml:space="preserve">100mm solid dense</t>
  </si>
  <si>
    <t xml:space="preserve">#6, #10, #18, #19</t>
  </si>
  <si>
    <t xml:space="preserve">170 blocks (72 + 72 + 6 + 20)</t>
  </si>
  <si>
    <t xml:space="preserve">Cement</t>
  </si>
  <si>
    <t xml:space="preserve">Mastercrete 25kg and white Snowcrete</t>
  </si>
  <si>
    <t xml:space="preserve">#5, #7, #10, #11, #14, #18</t>
  </si>
  <si>
    <t xml:space="preserve">43 bags: 41 Mastercrete (~£8.51) + 2 Snowcrete (~£22.57)</t>
  </si>
  <si>
    <t xml:space="preserve">Posts, rail brackets, Postcrete, pegs, treated timber</t>
  </si>
  <si>
    <t xml:space="preserve">#15</t>
  </si>
  <si>
    <t xml:space="preserve">One invoice, 11 Sep</t>
  </si>
  <si>
    <t xml:space="preserve">Tools, PPE, screws &amp; small consumables</t>
  </si>
  <si>
    <t xml:space="preserve">Blades, drill bit, mallet, line markers, gloves, woodscrews, flat packers</t>
  </si>
  <si>
    <t xml:space="preserve">#5, #7, #8, #9, #12, #15, #16, #18</t>
  </si>
  <si>
    <t xml:space="preserve">Small items across 8 invoices</t>
  </si>
  <si>
    <t xml:space="preserve">Sand</t>
  </si>
  <si>
    <t xml:space="preserve">Building, sharp/grit sand; bulk bag</t>
  </si>
  <si>
    <t xml:space="preserve">#5, #6</t>
  </si>
  <si>
    <t xml:space="preserve">7 units (1 bulk bag, 4 + 2 trade packs)</t>
  </si>
  <si>
    <t xml:space="preserve">Shuttering plywood</t>
  </si>
  <si>
    <t xml:space="preserve">18mm and 12mm CE2</t>
  </si>
  <si>
    <t xml:space="preserve">#8, #12</t>
  </si>
  <si>
    <t xml:space="preserve">18mm + 2 x 12mm</t>
  </si>
  <si>
    <t xml:space="preserve">Plant hire</t>
  </si>
  <si>
    <t xml:space="preserve">Digger £378.58 (hired 3–8 Sep) + tracked dumper £277.79 (hired 2–8 Sep)</t>
  </si>
  <si>
    <t xml:space="preserve">#13, #17</t>
  </si>
  <si>
    <t xml:space="preserve">Invoice dates, not hire dates</t>
  </si>
  <si>
    <t xml:space="preserve">Refundable pallet deposit</t>
  </si>
  <si>
    <t xml:space="preserve">Block pallet deposit — not a final cost if the pallet is returned</t>
  </si>
  <si>
    <t xml:space="preserve">Refundable</t>
  </si>
  <si>
    <t xml:space="preserve">SUBTOTAL — invoices #5–19</t>
  </si>
  <si>
    <t xml:space="preserve">Invoices #1–4 (not itemised)</t>
  </si>
  <si>
    <t xml:space="preserve">Render/masonry consumables + lead flashing £481.28; DPC roll £26.42; cleaning/finishing consumables £40.18</t>
  </si>
  <si>
    <t xml:space="preserve">17 Jul 2026</t>
  </si>
  <si>
    <t xml:space="preserve">10 Aug 2026</t>
  </si>
  <si>
    <t xml:space="preserve">#1–#4</t>
  </si>
  <si>
    <t xml:space="preserve">Settled 18 Aug; no item breakdown held</t>
  </si>
  <si>
    <t xml:space="preserve">TOTAL INVOICED</t>
  </si>
  <si>
    <t xml:space="preserve">Check: TP Account total less this total (must be 0.00)</t>
  </si>
  <si>
    <t xml:space="preserve">TP Line Items — every item on every Travis Perkins invoice</t>
  </si>
  <si>
    <t xml:space="preserve">Source for the TP Account and TP Spend by Item tabs. Amounts inc VAT. Invoices #1–4 were settled as a group and are not itemised. Built 3 Oct 2026 from paper invoices and the tracker.</t>
  </si>
  <si>
    <t xml:space="preserve">Category</t>
  </si>
  <si>
    <t xml:space="preserve">Amount £ (inc VAT)</t>
  </si>
  <si>
    <t xml:space="preserve">Render/masonry consumables + lead flashing (pooled, not itemised)</t>
  </si>
  <si>
    <t xml:space="preserve">Damplas DPC roll (invoice 1048887075)</t>
  </si>
  <si>
    <t xml:space="preserve">Sharp/grit sand trade pack</t>
  </si>
  <si>
    <t xml:space="preserve">Building sand trade pack</t>
  </si>
  <si>
    <t xml:space="preserve">Blue Circle Snowcrete white Portland cement 25kg</t>
  </si>
  <si>
    <t xml:space="preserve">Bosch Pro multi-material demolition blade (5 pcs)</t>
  </si>
  <si>
    <t xml:space="preserve">Ballast bulk bag</t>
  </si>
  <si>
    <t xml:space="preserve">Building sand bulk bag</t>
  </si>
  <si>
    <t xml:space="preserve">Solid dense block 100mm 7.3N</t>
  </si>
  <si>
    <t xml:space="preserve">Blue Circle Mastercrete cement 25kg</t>
  </si>
  <si>
    <t xml:space="preserve">Trend Craft blade CC 305mm</t>
  </si>
  <si>
    <t xml:space="preserve">Shuttering plywood 18mm CE2</t>
  </si>
  <si>
    <t xml:space="preserve">Dewalt drill bit</t>
  </si>
  <si>
    <t xml:space="preserve">Stick-Fit woodscrews 5.0x80mm (pack of 200)</t>
  </si>
  <si>
    <t xml:space="preserve">Wonder Grip gloves size 9</t>
  </si>
  <si>
    <t xml:space="preserve">Broadfix flat packers, tub of 300</t>
  </si>
  <si>
    <t xml:space="preserve">Mastercrete cement 25kg</t>
  </si>
  <si>
    <t xml:space="preserve">Solid dense block 100mm</t>
  </si>
  <si>
    <t xml:space="preserve">Block pallet deposit — REFUNDABLE</t>
  </si>
  <si>
    <t xml:space="preserve">Ballast bulk bag (2nd)</t>
  </si>
  <si>
    <t xml:space="preserve">Shuttering plywood 12mm CE2</t>
  </si>
  <si>
    <t xml:space="preserve">Prosolve line marker</t>
  </si>
  <si>
    <t xml:space="preserve">1.5T excavator, 6 days (3–8 Sep)</t>
  </si>
  <si>
    <t xml:space="preserve">Loss and damage waiver</t>
  </si>
  <si>
    <t xml:space="preserve">Diesel in tank, 12L</t>
  </si>
  <si>
    <t xml:space="preserve">Transport (delivered)</t>
  </si>
  <si>
    <t xml:space="preserve">Transport (collected)</t>
  </si>
  <si>
    <t xml:space="preserve">BSW Sawn Green Treated 22x150mm x3.0m</t>
  </si>
  <si>
    <t xml:space="preserve">Item: fence materials.</t>
  </si>
  <si>
    <t xml:space="preserve">Green Treated UC4 Fence Post 100x100mm x3.0m</t>
  </si>
  <si>
    <t xml:space="preserve">Pegs Pointed Sawn Treated 47x50mm x0.6m</t>
  </si>
  <si>
    <t xml:space="preserve">Blue Circle Postcrete 20kg</t>
  </si>
  <si>
    <t xml:space="preserve">Treated Timber 25x50mm x4.8m</t>
  </si>
  <si>
    <t xml:space="preserve">4Trade Arris Rail Fixing Bracket Galvanised</t>
  </si>
  <si>
    <t xml:space="preserve">Wonder Grip Duo Gloves (XL)</t>
  </si>
  <si>
    <t xml:space="preserve">Wonder Grip gloves (L) + Stick-Fit woodscrews 5.0x40mm (x200) — combined line</t>
  </si>
  <si>
    <t xml:space="preserve">Small consumables — cannot be split between projects. INFERRED.</t>
  </si>
  <si>
    <t xml:space="preserve">Tracked dumper 500kg, 7 days (2–8 Sep)</t>
  </si>
  <si>
    <t xml:space="preserve">Wear charge, fleeted refuel</t>
  </si>
  <si>
    <t xml:space="preserve">Hire delivery</t>
  </si>
  <si>
    <t xml:space="preserve">Hire collection</t>
  </si>
  <si>
    <t xml:space="preserve">Minotaur rubber mallet 16oz</t>
  </si>
  <si>
    <t xml:space="preserve">Prosolve line marker 750ml</t>
  </si>
  <si>
    <t xml:space="preserve">51 lines</t>
  </si>
  <si>
    <t xml:space="preserve">Skip Hire Log — pooled rubbish-removal drawdown</t>
  </si>
  <si>
    <t xml:space="preserve">Provisional pooled budget £1,360 (transferred 10 Aug from chimney £80 + coping £80 + decking £1,200 rubbish-removal quotes). Family now supplies skips directly rather than Luke arranging disposal. Log every skip here AND on the Invoice Register (cost centre: Rubbish removal (pooled skips)) — this sheet is skip detail, the Register is the money record. Unlike the materials pool, more skips are expected — budget may need topping up. £40 Roofline works rubbish removal is expected but not yet incurred, so it is shown on its own row and not drawn.</t>
  </si>
  <si>
    <t xml:space="preserve">Opening pool:</t>
  </si>
  <si>
    <t xml:space="preserve">Provider</t>
  </si>
  <si>
    <t xml:space="preserve">Skip details</t>
  </si>
  <si>
    <t xml:space="preserve">Phase / use</t>
  </si>
  <si>
    <t xml:space="preserve">Running remaining £</t>
  </si>
  <si>
    <t xml:space="preserve">8 cubic yard, general waste, delivery 11 Aug (ref D81F29CE-0002) — CANCELLED 11 Aug (supplier delayed), refunded in full (receipt 3362-9782)</t>
  </si>
  <si>
    <t xml:space="preserve">Above-ground works (chimney/coping)</t>
  </si>
  <si>
    <t xml:space="preserve">Refund — cancelled booking, receipt 3362-9782, 5-10 working days to clear</t>
  </si>
  <si>
    <t xml:space="preserve">Refund (cancelled skip)</t>
  </si>
  <si>
    <t xml:space="preserve">8 cubic yard, delivery — filled, awaiting exchange (INV-11373, ref 25996)</t>
  </si>
  <si>
    <t xml:space="preserve">8 cubic yard, exchange — collects filled skip, delivers empty (INV-11375, ref 26030)</t>
  </si>
  <si>
    <t xml:space="preserve">Old decking substructure wood collection — PAID 11 Sep, £680 cash (was estimated £350; supplier charges per trip, 2 trips required)</t>
  </si>
  <si>
    <t xml:space="preserve">Decking substructure, both sides</t>
  </si>
  <si>
    <t xml:space="preserve">EXPECTED, NOT YET INCURRED — Roofline works rubbish removal, £40 per the 4 Sep estimate. Reclassified 8 Sep from Roofline works into this pooled fund. Not counted in the running balance until incurred; if it is, the pool would be £140 over.</t>
  </si>
  <si>
    <t xml:space="preserve">Materials Receipts — pooled budget drawdown</t>
  </si>
  <si>
    <t xml:space="preserve">Pooled budget £1,130 (chimney £480 + coping £650, pooled 20 Jul). Log every merchant receipt here AND on the Invoice Register (cost centre: Materials (pooled)) — this sheet is the pool detail, the Register is the money record. NOTE: pool is over cap after adding Luke's Travis Perkins account materials (now paid in full, 18 Aug) — flagged deliberately, not hidden; cap left at £1,130 rather than raised. PENDING 18 Aug: 5 bags of unused monocouche (Weber Pral M) returned to Dry Lining Supplies — refund expected within a couple of working days. Calculated from receipts: Weber Pral M Silver Pearl consistently £12.62/bag inc VAT (£126.20/10 on 22 Jul, £50.48/4 on 4 Aug) × 5 bags = £63.10 expected refund. Not yet logged as received — add Paid date once the credit note actually lands.</t>
  </si>
  <si>
    <t xml:space="preserve">Merchant</t>
  </si>
  <si>
    <t xml:space="preserve">Items (summary)</t>
  </si>
  <si>
    <t xml:space="preserve">Render mesh, Weberend Aid ×6, angle/stop beads, rubble sacks, Bond It SBR 5l (project share; £111.71 platform excluded — Luke's equipment)</t>
  </si>
  <si>
    <t xml:space="preserve">Render (chimney + coping, shared)</t>
  </si>
  <si>
    <t xml:space="preserve">Weber Pral M Silver Pearl x10 (£126.20), Plastic 15mm Stop Bead 3m x3 (£9.60), inc VAT</t>
  </si>
  <si>
    <t xml:space="preserve">Render finish (chimney + coping, shared)</t>
  </si>
  <si>
    <t xml:space="preserve">Weberend Ocr x3 (£29.13), Weber Pral M Silver Pearl x4 (£50.48), Stop Bead x6 (£19.20), Drip Bead x2 (£7.42), Sikabond SBR (£17.54), inc VAT</t>
  </si>
  <si>
    <t xml:space="preserve">Render (coping stones)</t>
  </si>
  <si>
    <t xml:space="preserve">Render Cleaner Gel X Pro, 5 Litres (order F4UJ62VLQ)</t>
  </si>
  <si>
    <t xml:space="preserve">Render cleanup (chimney + coping, shared)</t>
  </si>
  <si>
    <t xml:space="preserve">Render/masonry consumables + lead flashing, 3 invoices 17 Jul-5 Aug (1047678330 / 1047972816 / 1048887075) — pooled, not split by workstream</t>
  </si>
  <si>
    <t xml:space="preserve">Render (chimney + coping, pooled)</t>
  </si>
  <si>
    <t xml:space="preserve">LG Building and Roofing Ltd (Travis Perkins account, INV 1049120278)</t>
  </si>
  <si>
    <t xml:space="preserve">Cleaning/finishing consumables (trigger spray, decorating cloth) — pooled, not split by workstream</t>
  </si>
</sst>
</file>

<file path=xl/styles.xml><?xml version="1.0" encoding="utf-8"?>
<styleSheet xmlns="http://schemas.openxmlformats.org/spreadsheetml/2006/main">
  <numFmts count="13">
    <numFmt numFmtId="164" formatCode="General"/>
    <numFmt numFmtId="165" formatCode="dd\ mmm\ yyyy"/>
    <numFmt numFmtId="166" formatCode="#,##0.00"/>
    <numFmt numFmtId="167" formatCode="\£#,##0.00"/>
    <numFmt numFmtId="168" formatCode="\£#,##0.00;&quot;-£&quot;#,##0.00"/>
    <numFmt numFmtId="169" formatCode="\£#,##0.00;[RED]&quot;-£&quot;#,##0.00"/>
    <numFmt numFmtId="170" formatCode="#,##0.00;\-#,##0.00"/>
    <numFmt numFmtId="171" formatCode="0.0%"/>
    <numFmt numFmtId="172" formatCode="0"/>
    <numFmt numFmtId="173" formatCode="#,##0.00;\-#,##0.00;\–"/>
    <numFmt numFmtId="174" formatCode="General"/>
    <numFmt numFmtId="175" formatCode="yyyy\-mm\-dd\ h:mm:ss"/>
    <numFmt numFmtId="176" formatCode="@"/>
  </numFmts>
  <fonts count="19">
    <font>
      <sz val="11"/>
      <color theme="1"/>
      <name val="Calibri"/>
      <family val="2"/>
      <charset val="1"/>
    </font>
    <font>
      <sz val="10"/>
      <name val="Arial"/>
      <family val="0"/>
    </font>
    <font>
      <sz val="10"/>
      <name val="Arial"/>
      <family val="0"/>
    </font>
    <font>
      <sz val="10"/>
      <name val="Arial"/>
      <family val="0"/>
    </font>
    <font>
      <b val="true"/>
      <sz val="16"/>
      <color rgb="FF0F766E"/>
      <name val="Georgia"/>
      <family val="0"/>
      <charset val="1"/>
    </font>
    <font>
      <b val="true"/>
      <sz val="11"/>
      <color rgb="FF1F2937"/>
      <name val="Calibri"/>
      <family val="0"/>
      <charset val="1"/>
    </font>
    <font>
      <sz val="11"/>
      <color rgb="FF0000FF"/>
      <name val="Calibri"/>
      <family val="0"/>
      <charset val="1"/>
    </font>
    <font>
      <i val="true"/>
      <sz val="10"/>
      <color rgb="FF6B7280"/>
      <name val="Calibri"/>
      <family val="0"/>
      <charset val="1"/>
    </font>
    <font>
      <b val="true"/>
      <sz val="10"/>
      <color rgb="FFFFFFFF"/>
      <name val="Calibri"/>
      <family val="0"/>
      <charset val="1"/>
    </font>
    <font>
      <sz val="11"/>
      <color rgb="FF1F2937"/>
      <name val="Calibri"/>
      <family val="0"/>
      <charset val="1"/>
    </font>
    <font>
      <b val="true"/>
      <sz val="11"/>
      <color rgb="FF0F766E"/>
      <name val="Calibri"/>
      <family val="0"/>
      <charset val="1"/>
    </font>
    <font>
      <sz val="10"/>
      <color rgb="FF1F2937"/>
      <name val="Calibri"/>
      <family val="0"/>
      <charset val="1"/>
    </font>
    <font>
      <b val="true"/>
      <sz val="12"/>
      <color rgb="FF0F766E"/>
      <name val="Calibri"/>
      <family val="0"/>
      <charset val="1"/>
    </font>
    <font>
      <b val="true"/>
      <sz val="13"/>
      <color rgb="FF0F766E"/>
      <name val="Georgia"/>
      <family val="0"/>
      <charset val="1"/>
    </font>
    <font>
      <b val="true"/>
      <sz val="11"/>
      <color rgb="FFFFFFFF"/>
      <name val="Calibri"/>
      <family val="0"/>
      <charset val="1"/>
    </font>
    <font>
      <b val="true"/>
      <sz val="11"/>
      <color rgb="FF059669"/>
      <name val="Calibri"/>
      <family val="0"/>
      <charset val="1"/>
    </font>
    <font>
      <b val="true"/>
      <sz val="11"/>
      <color rgb="FFDC2626"/>
      <name val="Calibri"/>
      <family val="0"/>
      <charset val="1"/>
    </font>
    <font>
      <b val="true"/>
      <sz val="12"/>
      <color rgb="FF1F2937"/>
      <name val="Calibri"/>
      <family val="0"/>
      <charset val="1"/>
    </font>
    <font>
      <b val="true"/>
      <sz val="13"/>
      <color rgb="FF0F766E"/>
      <name val="Calibri"/>
      <family val="0"/>
      <charset val="1"/>
    </font>
  </fonts>
  <fills count="13">
    <fill>
      <patternFill patternType="none"/>
    </fill>
    <fill>
      <patternFill patternType="gray125"/>
    </fill>
    <fill>
      <patternFill patternType="solid">
        <fgColor rgb="FFFFF9C4"/>
        <bgColor rgb="FFFEF3C7"/>
      </patternFill>
    </fill>
    <fill>
      <patternFill patternType="solid">
        <fgColor rgb="FF0F766E"/>
        <bgColor rgb="FF0D9488"/>
      </patternFill>
    </fill>
    <fill>
      <patternFill patternType="solid">
        <fgColor rgb="FFF0FDFA"/>
        <bgColor rgb="FFF3F4F6"/>
      </patternFill>
    </fill>
    <fill>
      <patternFill patternType="solid">
        <fgColor rgb="FFFEE2E2"/>
        <bgColor rgb="FFE5E7EB"/>
      </patternFill>
    </fill>
    <fill>
      <patternFill patternType="solid">
        <fgColor rgb="FFF3F4F6"/>
        <bgColor rgb="FFF0FDFA"/>
      </patternFill>
    </fill>
    <fill>
      <patternFill patternType="solid">
        <fgColor rgb="FFCCFBF1"/>
        <bgColor rgb="FFD1FAE5"/>
      </patternFill>
    </fill>
    <fill>
      <patternFill patternType="solid">
        <fgColor rgb="FFD1FAE5"/>
        <bgColor rgb="FFCCFBF1"/>
      </patternFill>
    </fill>
    <fill>
      <patternFill patternType="solid">
        <fgColor rgb="FFFEF3C7"/>
        <bgColor rgb="FFFFF9C4"/>
      </patternFill>
    </fill>
    <fill>
      <patternFill patternType="solid">
        <fgColor rgb="FFE5E7EB"/>
        <bgColor rgb="FFE6F4F1"/>
      </patternFill>
    </fill>
    <fill>
      <patternFill patternType="solid">
        <fgColor rgb="FFE6F4F1"/>
        <bgColor rgb="FFF3F4F6"/>
      </patternFill>
    </fill>
    <fill>
      <patternFill patternType="solid">
        <fgColor rgb="FF0D9488"/>
        <bgColor rgb="FF059669"/>
      </patternFill>
    </fill>
  </fills>
  <borders count="5">
    <border diagonalUp="false" diagonalDown="false">
      <left/>
      <right/>
      <top/>
      <bottom/>
      <diagonal/>
    </border>
    <border diagonalUp="false" diagonalDown="false">
      <left style="thin">
        <color rgb="FFD1D5DB"/>
      </left>
      <right style="thin">
        <color rgb="FFD1D5DB"/>
      </right>
      <top style="thin">
        <color rgb="FFD1D5DB"/>
      </top>
      <bottom style="thin">
        <color rgb="FFD1D5DB"/>
      </bottom>
      <diagonal/>
    </border>
    <border diagonalUp="false" diagonalDown="false">
      <left style="thin">
        <color rgb="FFD1D5DB"/>
      </left>
      <right/>
      <top style="thin">
        <color rgb="FFD1D5DB"/>
      </top>
      <bottom style="thin">
        <color rgb="FFD1D5DB"/>
      </bottom>
      <diagonal/>
    </border>
    <border diagonalUp="false" diagonalDown="false">
      <left/>
      <right/>
      <top style="thin">
        <color rgb="FFD1D5DB"/>
      </top>
      <bottom style="thin">
        <color rgb="FFD1D5DB"/>
      </bottom>
      <diagonal/>
    </border>
    <border diagonalUp="false" diagonalDown="false">
      <left/>
      <right style="thin">
        <color rgb="FFD1D5DB"/>
      </right>
      <top style="thin">
        <color rgb="FFD1D5DB"/>
      </top>
      <bottom style="thin">
        <color rgb="FFD1D5DB"/>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5" fontId="6" fillId="2" borderId="0" xfId="0" applyFont="true" applyBorder="fals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4" fontId="8" fillId="3" borderId="1" xfId="0" applyFont="true" applyBorder="true" applyAlignment="true" applyProtection="true">
      <alignment horizontal="center" vertical="center" textRotation="0" wrapText="false" indent="0" shrinkToFit="false"/>
      <protection locked="true" hidden="false"/>
    </xf>
    <xf numFmtId="164" fontId="5" fillId="0" borderId="1" xfId="0" applyFont="true" applyBorder="true" applyAlignment="true" applyProtection="true">
      <alignment horizontal="left" vertical="center" textRotation="0" wrapText="true" indent="0" shrinkToFit="false"/>
      <protection locked="true" hidden="false"/>
    </xf>
    <xf numFmtId="164" fontId="9" fillId="0" borderId="1" xfId="0" applyFont="true" applyBorder="true" applyAlignment="true" applyProtection="true">
      <alignment horizontal="left" vertical="center" textRotation="0" wrapText="true" indent="0" shrinkToFit="false"/>
      <protection locked="true" hidden="false"/>
    </xf>
    <xf numFmtId="166" fontId="0" fillId="0" borderId="1" xfId="0" applyFont="false" applyBorder="true" applyAlignment="true" applyProtection="true">
      <alignment horizontal="right" vertical="center" textRotation="0" wrapText="false" indent="0" shrinkToFit="false"/>
      <protection locked="true" hidden="false"/>
    </xf>
    <xf numFmtId="166" fontId="0" fillId="4" borderId="1" xfId="0" applyFont="false" applyBorder="true" applyAlignment="true" applyProtection="true">
      <alignment horizontal="right" vertical="center" textRotation="0" wrapText="false" indent="0" shrinkToFit="false"/>
      <protection locked="true" hidden="false"/>
    </xf>
    <xf numFmtId="164" fontId="7" fillId="0" borderId="1" xfId="0" applyFont="true" applyBorder="true" applyAlignment="true" applyProtection="true">
      <alignment horizontal="left" vertical="center" textRotation="0" wrapText="true" indent="0" shrinkToFit="false"/>
      <protection locked="true" hidden="false"/>
    </xf>
    <xf numFmtId="164" fontId="7" fillId="5" borderId="1" xfId="0" applyFont="true" applyBorder="true" applyAlignment="true" applyProtection="true">
      <alignment horizontal="left" vertical="center" textRotation="0" wrapText="true" indent="0" shrinkToFit="false"/>
      <protection locked="true" hidden="false"/>
    </xf>
    <xf numFmtId="164" fontId="5" fillId="6" borderId="1" xfId="0" applyFont="true" applyBorder="true" applyAlignment="true" applyProtection="true">
      <alignment horizontal="left" vertical="center" textRotation="0" wrapText="true" indent="0" shrinkToFit="false"/>
      <protection locked="true" hidden="false"/>
    </xf>
    <xf numFmtId="164" fontId="9" fillId="6" borderId="1" xfId="0" applyFont="true" applyBorder="true" applyAlignment="true" applyProtection="true">
      <alignment horizontal="left" vertical="center" textRotation="0" wrapText="true" indent="0" shrinkToFit="false"/>
      <protection locked="true" hidden="false"/>
    </xf>
    <xf numFmtId="166" fontId="10" fillId="6" borderId="1" xfId="0" applyFont="true" applyBorder="true" applyAlignment="true" applyProtection="true">
      <alignment horizontal="right" vertical="center" textRotation="0" wrapText="false" indent="0" shrinkToFit="false"/>
      <protection locked="true" hidden="false"/>
    </xf>
    <xf numFmtId="166" fontId="10" fillId="4" borderId="1" xfId="0" applyFont="true" applyBorder="true" applyAlignment="true" applyProtection="true">
      <alignment horizontal="right" vertical="center" textRotation="0" wrapText="false" indent="0" shrinkToFit="false"/>
      <protection locked="true" hidden="false"/>
    </xf>
    <xf numFmtId="164" fontId="7" fillId="6" borderId="1" xfId="0" applyFont="true" applyBorder="true" applyAlignment="true" applyProtection="true">
      <alignment horizontal="left" vertical="center" textRotation="0" wrapText="true" indent="0" shrinkToFit="false"/>
      <protection locked="true" hidden="false"/>
    </xf>
    <xf numFmtId="166" fontId="9" fillId="0" borderId="1" xfId="0" applyFont="true" applyBorder="true" applyAlignment="true" applyProtection="true">
      <alignment horizontal="right" vertical="center" textRotation="0" wrapText="false" indent="0" shrinkToFit="false"/>
      <protection locked="true" hidden="false"/>
    </xf>
    <xf numFmtId="166" fontId="9" fillId="4" borderId="1" xfId="0" applyFont="true" applyBorder="true" applyAlignment="true" applyProtection="true">
      <alignment horizontal="right" vertical="center" textRotation="0" wrapText="false" indent="0" shrinkToFit="false"/>
      <protection locked="true" hidden="false"/>
    </xf>
    <xf numFmtId="164" fontId="11" fillId="0" borderId="1" xfId="0" applyFont="true" applyBorder="true" applyAlignment="true" applyProtection="true">
      <alignment horizontal="left" vertical="center" textRotation="0" wrapText="true" indent="0" shrinkToFit="false"/>
      <protection locked="true" hidden="false"/>
    </xf>
    <xf numFmtId="164" fontId="10" fillId="6" borderId="1" xfId="0" applyFont="true" applyBorder="true" applyAlignment="true" applyProtection="true">
      <alignment horizontal="general" vertical="bottom" textRotation="0" wrapText="false" indent="0" shrinkToFit="false"/>
      <protection locked="true" hidden="false"/>
    </xf>
    <xf numFmtId="164" fontId="0" fillId="6" borderId="1" xfId="0" applyFont="false" applyBorder="true" applyAlignment="true" applyProtection="true">
      <alignment horizontal="general" vertical="bottom" textRotation="0" wrapText="false" indent="0" shrinkToFit="false"/>
      <protection locked="true" hidden="false"/>
    </xf>
    <xf numFmtId="164" fontId="10" fillId="7" borderId="1" xfId="0" applyFont="true" applyBorder="true" applyAlignment="true" applyProtection="true">
      <alignment horizontal="general" vertical="bottom" textRotation="0" wrapText="false" indent="0" shrinkToFit="false"/>
      <protection locked="true" hidden="false"/>
    </xf>
    <xf numFmtId="164" fontId="0" fillId="7" borderId="1" xfId="0" applyFont="false" applyBorder="true" applyAlignment="true" applyProtection="true">
      <alignment horizontal="general" vertical="bottom" textRotation="0" wrapText="false" indent="0" shrinkToFit="false"/>
      <protection locked="true" hidden="false"/>
    </xf>
    <xf numFmtId="166" fontId="10" fillId="7" borderId="1" xfId="0" applyFont="true" applyBorder="true" applyAlignment="true" applyProtection="true">
      <alignment horizontal="right" vertical="center" textRotation="0" wrapText="false" indent="0" shrinkToFit="false"/>
      <protection locked="true" hidden="false"/>
    </xf>
    <xf numFmtId="164" fontId="12" fillId="7" borderId="1" xfId="0" applyFont="true" applyBorder="true" applyAlignment="true" applyProtection="true">
      <alignment horizontal="general" vertical="bottom" textRotation="0" wrapText="false" indent="0" shrinkToFit="false"/>
      <protection locked="true" hidden="false"/>
    </xf>
    <xf numFmtId="164" fontId="0" fillId="7" borderId="0" xfId="0" applyFont="false" applyBorder="false" applyAlignment="true" applyProtection="true">
      <alignment horizontal="general" vertical="bottom" textRotation="0" wrapText="false" indent="0" shrinkToFit="false"/>
      <protection locked="true" hidden="false"/>
    </xf>
    <xf numFmtId="166" fontId="12" fillId="7" borderId="1" xfId="0" applyFont="true" applyBorder="true" applyAlignment="true" applyProtection="true">
      <alignment horizontal="right" vertical="center" textRotation="0" wrapText="false" indent="0" shrinkToFit="false"/>
      <protection locked="true" hidden="false"/>
    </xf>
    <xf numFmtId="166" fontId="10" fillId="4" borderId="0" xfId="0" applyFont="true" applyBorder="false" applyAlignment="true" applyProtection="true">
      <alignment horizontal="general" vertical="bottom" textRotation="0" wrapText="false" indent="0" shrinkToFit="false"/>
      <protection locked="true" hidden="false"/>
    </xf>
    <xf numFmtId="164" fontId="13" fillId="0" borderId="0" xfId="0" applyFont="true" applyBorder="false" applyAlignment="true" applyProtection="true">
      <alignment horizontal="general" vertical="bottom" textRotation="0" wrapText="false" indent="0" shrinkToFit="false"/>
      <protection locked="true" hidden="false"/>
    </xf>
    <xf numFmtId="164" fontId="9" fillId="0" borderId="0" xfId="0" applyFont="true" applyBorder="true" applyAlignment="true" applyProtection="true">
      <alignment horizontal="left" vertical="center" textRotation="0" wrapText="true" indent="0" shrinkToFit="false"/>
      <protection locked="true" hidden="false"/>
    </xf>
    <xf numFmtId="164" fontId="5" fillId="0" borderId="0" xfId="0" applyFont="true" applyBorder="false" applyAlignment="true" applyProtection="true">
      <alignment horizontal="left" vertical="center" textRotation="0" wrapText="true" indent="0" shrinkToFit="false"/>
      <protection locked="true" hidden="false"/>
    </xf>
    <xf numFmtId="164" fontId="14" fillId="3" borderId="1" xfId="0" applyFont="true" applyBorder="true" applyAlignment="true" applyProtection="true">
      <alignment horizontal="left" vertical="center" textRotation="0" wrapText="true" indent="0" shrinkToFit="false"/>
      <protection locked="true" hidden="false"/>
    </xf>
    <xf numFmtId="164" fontId="14" fillId="3" borderId="1" xfId="0" applyFont="true" applyBorder="true" applyAlignment="true" applyProtection="true">
      <alignment horizontal="center" vertical="center" textRotation="0" wrapText="false" indent="0" shrinkToFit="false"/>
      <protection locked="true" hidden="false"/>
    </xf>
    <xf numFmtId="167" fontId="9" fillId="0" borderId="1" xfId="0" applyFont="true" applyBorder="true" applyAlignment="true" applyProtection="true">
      <alignment horizontal="right" vertical="center" textRotation="0" wrapText="false" indent="0" shrinkToFit="false"/>
      <protection locked="true" hidden="false"/>
    </xf>
    <xf numFmtId="168" fontId="5" fillId="0" borderId="1" xfId="0" applyFont="true" applyBorder="true" applyAlignment="true" applyProtection="true">
      <alignment horizontal="right" vertical="center" textRotation="0" wrapText="false" indent="0" shrinkToFit="false"/>
      <protection locked="true" hidden="false"/>
    </xf>
    <xf numFmtId="164" fontId="9" fillId="8" borderId="1" xfId="0" applyFont="true" applyBorder="true" applyAlignment="true" applyProtection="true">
      <alignment horizontal="left" vertical="center" textRotation="0" wrapText="true" indent="0" shrinkToFit="false"/>
      <protection locked="true" hidden="false"/>
    </xf>
    <xf numFmtId="167" fontId="9" fillId="8" borderId="1" xfId="0" applyFont="true" applyBorder="true" applyAlignment="true" applyProtection="true">
      <alignment horizontal="right" vertical="center" textRotation="0" wrapText="false" indent="0" shrinkToFit="false"/>
      <protection locked="true" hidden="false"/>
    </xf>
    <xf numFmtId="168" fontId="15" fillId="8" borderId="1" xfId="0" applyFont="true" applyBorder="true" applyAlignment="true" applyProtection="true">
      <alignment horizontal="right" vertical="center" textRotation="0" wrapText="false" indent="0" shrinkToFit="false"/>
      <protection locked="true" hidden="false"/>
    </xf>
    <xf numFmtId="168" fontId="15" fillId="0" borderId="1" xfId="0" applyFont="true" applyBorder="true" applyAlignment="true" applyProtection="true">
      <alignment horizontal="right" vertical="center" textRotation="0" wrapText="false" indent="0" shrinkToFit="false"/>
      <protection locked="true" hidden="false"/>
    </xf>
    <xf numFmtId="164" fontId="9" fillId="5" borderId="1" xfId="0" applyFont="true" applyBorder="true" applyAlignment="true" applyProtection="true">
      <alignment horizontal="left" vertical="center" textRotation="0" wrapText="true" indent="0" shrinkToFit="false"/>
      <protection locked="true" hidden="false"/>
    </xf>
    <xf numFmtId="167" fontId="9" fillId="5" borderId="1" xfId="0" applyFont="true" applyBorder="true" applyAlignment="true" applyProtection="true">
      <alignment horizontal="right" vertical="center" textRotation="0" wrapText="false" indent="0" shrinkToFit="false"/>
      <protection locked="true" hidden="false"/>
    </xf>
    <xf numFmtId="168" fontId="16" fillId="5" borderId="1" xfId="0" applyFont="true" applyBorder="true" applyAlignment="true" applyProtection="true">
      <alignment horizontal="right" vertical="center" textRotation="0" wrapText="false" indent="0" shrinkToFit="false"/>
      <protection locked="true" hidden="false"/>
    </xf>
    <xf numFmtId="164" fontId="9" fillId="9" borderId="1" xfId="0" applyFont="true" applyBorder="true" applyAlignment="true" applyProtection="true">
      <alignment horizontal="left" vertical="center" textRotation="0" wrapText="true" indent="0" shrinkToFit="false"/>
      <protection locked="true" hidden="false"/>
    </xf>
    <xf numFmtId="167" fontId="9" fillId="9" borderId="1" xfId="0" applyFont="true" applyBorder="true" applyAlignment="true" applyProtection="true">
      <alignment horizontal="right" vertical="center" textRotation="0" wrapText="false" indent="0" shrinkToFit="false"/>
      <protection locked="true" hidden="false"/>
    </xf>
    <xf numFmtId="168" fontId="15" fillId="9" borderId="1" xfId="0" applyFont="true" applyBorder="true" applyAlignment="true" applyProtection="true">
      <alignment horizontal="right" vertical="center" textRotation="0" wrapText="false" indent="0" shrinkToFit="false"/>
      <protection locked="true" hidden="false"/>
    </xf>
    <xf numFmtId="164" fontId="5" fillId="10" borderId="1" xfId="0" applyFont="true" applyBorder="true" applyAlignment="true" applyProtection="true">
      <alignment horizontal="left" vertical="center" textRotation="0" wrapText="true" indent="0" shrinkToFit="false"/>
      <protection locked="true" hidden="false"/>
    </xf>
    <xf numFmtId="167" fontId="0" fillId="0" borderId="0" xfId="0" applyFont="false" applyBorder="false" applyAlignment="true" applyProtection="true">
      <alignment horizontal="general" vertical="bottom" textRotation="0" wrapText="false" indent="0" shrinkToFit="false"/>
      <protection locked="true" hidden="false"/>
    </xf>
    <xf numFmtId="167" fontId="16"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false" applyBorder="true" applyAlignment="true" applyProtection="true">
      <alignment horizontal="general" vertical="bottom" textRotation="0" wrapText="false" indent="0" shrinkToFit="false"/>
      <protection locked="true" hidden="false"/>
    </xf>
    <xf numFmtId="164" fontId="13" fillId="0" borderId="0" xfId="0" applyFont="true" applyBorder="false" applyAlignment="true" applyProtection="true">
      <alignment horizontal="left" vertical="center" textRotation="0" wrapText="true" indent="0" shrinkToFit="false"/>
      <protection locked="true" hidden="false"/>
    </xf>
    <xf numFmtId="164" fontId="9" fillId="0" borderId="0" xfId="0" applyFont="true" applyBorder="true" applyAlignment="true" applyProtection="true">
      <alignment horizontal="general" vertical="top" textRotation="0" wrapText="true" indent="0" shrinkToFit="false"/>
      <protection locked="true" hidden="false"/>
    </xf>
    <xf numFmtId="164" fontId="9" fillId="0" borderId="0" xfId="0" applyFont="true" applyBorder="false" applyAlignment="true" applyProtection="true">
      <alignment horizontal="left" vertical="center" textRotation="0" wrapText="true" indent="0" shrinkToFit="false"/>
      <protection locked="true" hidden="false"/>
    </xf>
    <xf numFmtId="167" fontId="9" fillId="0" borderId="0" xfId="0" applyFont="true" applyBorder="false" applyAlignment="true" applyProtection="true">
      <alignment horizontal="right" vertical="center" textRotation="0" wrapText="false" indent="0" shrinkToFit="false"/>
      <protection locked="true" hidden="false"/>
    </xf>
    <xf numFmtId="164" fontId="9" fillId="0" borderId="0" xfId="0" applyFont="true" applyBorder="false" applyAlignment="true" applyProtection="true">
      <alignment horizontal="left" vertical="center" textRotation="0" wrapText="false" indent="0" shrinkToFit="false"/>
      <protection locked="true" hidden="false"/>
    </xf>
    <xf numFmtId="164" fontId="5" fillId="9" borderId="1" xfId="0" applyFont="true" applyBorder="true" applyAlignment="true" applyProtection="true">
      <alignment horizontal="left" vertical="center" textRotation="0" wrapText="true" indent="0" shrinkToFit="false"/>
      <protection locked="true" hidden="false"/>
    </xf>
    <xf numFmtId="164" fontId="0" fillId="9" borderId="0" xfId="0" applyFont="false" applyBorder="false" applyAlignment="true" applyProtection="true">
      <alignment horizontal="general" vertical="bottom" textRotation="0" wrapText="false" indent="0" shrinkToFit="false"/>
      <protection locked="true" hidden="false"/>
    </xf>
    <xf numFmtId="167" fontId="5" fillId="9" borderId="1" xfId="0" applyFont="true" applyBorder="true" applyAlignment="true" applyProtection="true">
      <alignment horizontal="right" vertical="center" textRotation="0" wrapText="false" indent="0" shrinkToFit="false"/>
      <protection locked="true" hidden="false"/>
    </xf>
    <xf numFmtId="169" fontId="5" fillId="9" borderId="1" xfId="0" applyFont="true" applyBorder="true" applyAlignment="true" applyProtection="true">
      <alignment horizontal="right" vertical="center" textRotation="0" wrapText="false" indent="0" shrinkToFit="false"/>
      <protection locked="true" hidden="false"/>
    </xf>
    <xf numFmtId="164" fontId="17" fillId="11" borderId="0" xfId="0" applyFont="true" applyBorder="true" applyAlignment="true" applyProtection="true">
      <alignment horizontal="general" vertical="top" textRotation="0" wrapText="true" indent="0" shrinkToFit="false"/>
      <protection locked="true" hidden="false"/>
    </xf>
    <xf numFmtId="164" fontId="9" fillId="0" borderId="1" xfId="0" applyFont="true" applyBorder="true" applyAlignment="true" applyProtection="true">
      <alignment horizontal="left" vertical="top" textRotation="0" wrapText="true" indent="0" shrinkToFit="false"/>
      <protection locked="true" hidden="false"/>
    </xf>
    <xf numFmtId="170" fontId="9" fillId="0" borderId="1" xfId="0" applyFont="true" applyBorder="true" applyAlignment="true" applyProtection="true">
      <alignment horizontal="right" vertical="top" textRotation="0" wrapText="true" indent="0" shrinkToFit="false"/>
      <protection locked="true" hidden="false"/>
    </xf>
    <xf numFmtId="164" fontId="5" fillId="11" borderId="1" xfId="0" applyFont="true" applyBorder="true" applyAlignment="true" applyProtection="true">
      <alignment horizontal="left" vertical="top" textRotation="0" wrapText="true" indent="0" shrinkToFit="false"/>
      <protection locked="true" hidden="false"/>
    </xf>
    <xf numFmtId="170" fontId="5" fillId="11" borderId="1" xfId="0" applyFont="true" applyBorder="true" applyAlignment="true" applyProtection="true">
      <alignment horizontal="right" vertical="top" textRotation="0" wrapText="true" indent="0" shrinkToFit="false"/>
      <protection locked="true" hidden="false"/>
    </xf>
    <xf numFmtId="164" fontId="8" fillId="3" borderId="1" xfId="0" applyFont="true" applyBorder="true" applyAlignment="true" applyProtection="true">
      <alignment horizontal="center" vertical="center" textRotation="0" wrapText="true" indent="0" shrinkToFit="false"/>
      <protection locked="true" hidden="false"/>
    </xf>
    <xf numFmtId="171" fontId="9" fillId="0" borderId="1" xfId="0" applyFont="true" applyBorder="true" applyAlignment="true" applyProtection="true">
      <alignment horizontal="right" vertical="top" textRotation="0" wrapText="true" indent="0" shrinkToFit="false"/>
      <protection locked="true" hidden="false"/>
    </xf>
    <xf numFmtId="171" fontId="5" fillId="11" borderId="1" xfId="0" applyFont="true" applyBorder="true" applyAlignment="true" applyProtection="true">
      <alignment horizontal="right" vertical="top" textRotation="0" wrapText="true" indent="0" shrinkToFit="false"/>
      <protection locked="true" hidden="false"/>
    </xf>
    <xf numFmtId="164" fontId="5" fillId="9" borderId="2" xfId="0" applyFont="true" applyBorder="true" applyAlignment="true" applyProtection="true">
      <alignment horizontal="general" vertical="top" textRotation="0" wrapText="true" indent="0" shrinkToFit="false"/>
      <protection locked="true" hidden="false"/>
    </xf>
    <xf numFmtId="164" fontId="7" fillId="0" borderId="0" xfId="0" applyFont="true" applyBorder="true" applyAlignment="true" applyProtection="true">
      <alignment horizontal="general" vertical="top" textRotation="0" wrapText="true" indent="0" shrinkToFit="false"/>
      <protection locked="true" hidden="false"/>
    </xf>
    <xf numFmtId="166" fontId="5" fillId="0" borderId="0" xfId="0" applyFont="true" applyBorder="false" applyAlignment="true" applyProtection="true">
      <alignment horizontal="general" vertical="bottom" textRotation="0" wrapText="false" indent="0" shrinkToFit="false"/>
      <protection locked="true" hidden="false"/>
    </xf>
    <xf numFmtId="166" fontId="18" fillId="4" borderId="0" xfId="0" applyFont="true" applyBorder="false" applyAlignment="true" applyProtection="true">
      <alignment horizontal="general" vertical="bottom" textRotation="0" wrapText="false" indent="0" shrinkToFit="false"/>
      <protection locked="true" hidden="false"/>
    </xf>
    <xf numFmtId="172" fontId="9" fillId="2" borderId="1" xfId="0" applyFont="true" applyBorder="true" applyAlignment="true" applyProtection="true">
      <alignment horizontal="center" vertical="top" textRotation="0" wrapText="false" indent="0" shrinkToFit="false"/>
      <protection locked="true" hidden="false"/>
    </xf>
    <xf numFmtId="165" fontId="9" fillId="2" borderId="1" xfId="0" applyFont="true" applyBorder="true" applyAlignment="true" applyProtection="true">
      <alignment horizontal="left" vertical="top" textRotation="0" wrapText="false" indent="0" shrinkToFit="false"/>
      <protection locked="true" hidden="false"/>
    </xf>
    <xf numFmtId="165" fontId="9" fillId="2" borderId="1" xfId="0" applyFont="true" applyBorder="true" applyAlignment="true" applyProtection="true">
      <alignment horizontal="general" vertical="top" textRotation="0" wrapText="true" indent="0" shrinkToFit="false"/>
      <protection locked="true" hidden="false"/>
    </xf>
    <xf numFmtId="173" fontId="0" fillId="4" borderId="1" xfId="0" applyFont="false" applyBorder="true" applyAlignment="true" applyProtection="true">
      <alignment horizontal="right" vertical="center" textRotation="0" wrapText="false" indent="0" shrinkToFit="false"/>
      <protection locked="true" hidden="false"/>
    </xf>
    <xf numFmtId="166" fontId="0" fillId="4" borderId="1" xfId="0" applyFont="true" applyBorder="true" applyAlignment="true" applyProtection="true">
      <alignment horizontal="general" vertical="top" textRotation="0" wrapText="true" indent="0" shrinkToFit="false"/>
      <protection locked="true" hidden="false"/>
    </xf>
    <xf numFmtId="173" fontId="9" fillId="0" borderId="1" xfId="0" applyFont="true" applyBorder="true" applyAlignment="true" applyProtection="true">
      <alignment horizontal="right" vertical="center" textRotation="0" wrapText="false" indent="0" shrinkToFit="false"/>
      <protection locked="true" hidden="false"/>
    </xf>
    <xf numFmtId="164" fontId="5" fillId="11" borderId="1" xfId="0" applyFont="true" applyBorder="true" applyAlignment="true" applyProtection="true">
      <alignment horizontal="left" vertical="center" textRotation="0" wrapText="true" indent="0" shrinkToFit="false"/>
      <protection locked="true" hidden="false"/>
    </xf>
    <xf numFmtId="173" fontId="5" fillId="11" borderId="1" xfId="0" applyFont="true" applyBorder="true" applyAlignment="true" applyProtection="true">
      <alignment horizontal="right" vertical="center" textRotation="0" wrapText="false" indent="0" shrinkToFit="false"/>
      <protection locked="true" hidden="false"/>
    </xf>
    <xf numFmtId="164" fontId="0" fillId="0" borderId="3" xfId="0" applyFont="false" applyBorder="true" applyAlignment="true" applyProtection="true">
      <alignment horizontal="general" vertical="bottom" textRotation="0" wrapText="false" indent="0" shrinkToFit="false"/>
      <protection locked="true" hidden="false"/>
    </xf>
    <xf numFmtId="164" fontId="0" fillId="0" borderId="4" xfId="0" applyFont="false" applyBorder="true" applyAlignment="true" applyProtection="true">
      <alignment horizontal="general" vertical="bottom" textRotation="0" wrapText="false" indent="0" shrinkToFit="false"/>
      <protection locked="true" hidden="false"/>
    </xf>
    <xf numFmtId="171" fontId="9" fillId="0" borderId="1" xfId="0" applyFont="true" applyBorder="true" applyAlignment="true" applyProtection="true">
      <alignment horizontal="left" vertical="center" textRotation="0" wrapText="true" indent="0" shrinkToFit="false"/>
      <protection locked="true" hidden="false"/>
    </xf>
    <xf numFmtId="171" fontId="5" fillId="11" borderId="1" xfId="0" applyFont="true" applyBorder="true" applyAlignment="true" applyProtection="true">
      <alignment horizontal="left" vertical="center" textRotation="0" wrapText="true" indent="0" shrinkToFit="false"/>
      <protection locked="true" hidden="false"/>
    </xf>
    <xf numFmtId="164" fontId="9" fillId="0" borderId="1" xfId="0" applyFont="true" applyBorder="true" applyAlignment="true" applyProtection="true">
      <alignment horizontal="center" vertical="center" textRotation="0" wrapText="false" indent="0" shrinkToFit="false"/>
      <protection locked="true" hidden="false"/>
    </xf>
    <xf numFmtId="164" fontId="14" fillId="12" borderId="1" xfId="0" applyFont="true" applyBorder="true" applyAlignment="true" applyProtection="true">
      <alignment horizontal="center" vertical="center" textRotation="0" wrapText="false" indent="0" shrinkToFit="false"/>
      <protection locked="true" hidden="false"/>
    </xf>
    <xf numFmtId="164" fontId="9" fillId="7" borderId="1" xfId="0" applyFont="true" applyBorder="true" applyAlignment="true" applyProtection="true">
      <alignment horizontal="center" vertical="center" textRotation="0" wrapText="false" indent="0" shrinkToFit="false"/>
      <protection locked="true" hidden="false"/>
    </xf>
    <xf numFmtId="164" fontId="9" fillId="9" borderId="1" xfId="0" applyFont="true" applyBorder="true" applyAlignment="true" applyProtection="true">
      <alignment horizontal="center" vertical="center" textRotation="0" wrapText="false" indent="0" shrinkToFit="false"/>
      <protection locked="true" hidden="false"/>
    </xf>
    <xf numFmtId="174" fontId="9" fillId="0" borderId="1" xfId="0" applyFont="true" applyBorder="true" applyAlignment="true" applyProtection="true">
      <alignment horizontal="right" vertical="center" textRotation="0" wrapText="false" indent="0" shrinkToFit="false"/>
      <protection locked="true" hidden="false"/>
    </xf>
    <xf numFmtId="164" fontId="9" fillId="0" borderId="0" xfId="0" applyFont="true" applyBorder="false" applyAlignment="true" applyProtection="true">
      <alignment horizontal="general" vertical="bottom" textRotation="0" wrapText="false" indent="0" shrinkToFit="false"/>
      <protection locked="true" hidden="false"/>
    </xf>
    <xf numFmtId="164" fontId="5" fillId="0" borderId="1" xfId="0" applyFont="true" applyBorder="true" applyAlignment="true" applyProtection="true">
      <alignment horizontal="general" vertical="bottom" textRotation="0" wrapText="false" indent="0" shrinkToFit="false"/>
      <protection locked="true" hidden="false"/>
    </xf>
    <xf numFmtId="166" fontId="5" fillId="4" borderId="1" xfId="0" applyFont="true" applyBorder="true" applyAlignment="true" applyProtection="true">
      <alignment horizontal="right" vertical="center" textRotation="0" wrapText="false" indent="0" shrinkToFit="false"/>
      <protection locked="true" hidden="false"/>
    </xf>
    <xf numFmtId="165" fontId="9" fillId="0" borderId="1" xfId="0" applyFont="true" applyBorder="true" applyAlignment="true" applyProtection="true">
      <alignment horizontal="center" vertical="center" textRotation="0" wrapText="false" indent="0" shrinkToFit="false"/>
      <protection locked="true" hidden="false"/>
    </xf>
    <xf numFmtId="164" fontId="9" fillId="0" borderId="1" xfId="0" applyFont="true" applyBorder="true" applyAlignment="true" applyProtection="true">
      <alignment horizontal="center" vertical="top" textRotation="0" wrapText="false" indent="0" shrinkToFit="false"/>
      <protection locked="true" hidden="false"/>
    </xf>
    <xf numFmtId="165" fontId="9" fillId="2" borderId="1" xfId="0" applyFont="true" applyBorder="true" applyAlignment="true" applyProtection="true">
      <alignment horizontal="center" vertical="center" textRotation="0" wrapText="false" indent="0" shrinkToFit="false"/>
      <protection locked="true" hidden="false"/>
    </xf>
    <xf numFmtId="164" fontId="9" fillId="2" borderId="1" xfId="0" applyFont="true" applyBorder="true" applyAlignment="true" applyProtection="true">
      <alignment horizontal="center" vertical="center" textRotation="0" wrapText="false" indent="0" shrinkToFit="false"/>
      <protection locked="true" hidden="false"/>
    </xf>
    <xf numFmtId="164" fontId="9" fillId="2" borderId="1" xfId="0" applyFont="true" applyBorder="true" applyAlignment="true" applyProtection="true">
      <alignment horizontal="left" vertical="center" textRotation="0" wrapText="true" indent="0" shrinkToFit="false"/>
      <protection locked="true" hidden="false"/>
    </xf>
    <xf numFmtId="166" fontId="9" fillId="2" borderId="1" xfId="0" applyFont="true" applyBorder="true" applyAlignment="true" applyProtection="true">
      <alignment horizontal="center" vertical="center" textRotation="0" wrapText="false" indent="0" shrinkToFit="false"/>
      <protection locked="true" hidden="false"/>
    </xf>
    <xf numFmtId="175" fontId="9" fillId="0" borderId="1" xfId="0" applyFont="true" applyBorder="true" applyAlignment="true" applyProtection="true">
      <alignment horizontal="center" vertical="center" textRotation="0" wrapText="false" indent="0" shrinkToFit="false"/>
      <protection locked="true" hidden="false"/>
    </xf>
    <xf numFmtId="166" fontId="9" fillId="0" borderId="1" xfId="0" applyFont="true" applyBorder="true" applyAlignment="true" applyProtection="true">
      <alignment horizontal="center" vertical="center" textRotation="0" wrapText="false" indent="0" shrinkToFit="false"/>
      <protection locked="true" hidden="false"/>
    </xf>
    <xf numFmtId="164" fontId="10" fillId="0" borderId="0" xfId="0" applyFont="true" applyBorder="false" applyAlignment="true" applyProtection="true">
      <alignment horizontal="general" vertical="bottom" textRotation="0" wrapText="false" indent="0" shrinkToFit="false"/>
      <protection locked="true" hidden="false"/>
    </xf>
    <xf numFmtId="166" fontId="10" fillId="0" borderId="0" xfId="0" applyFont="true" applyBorder="false" applyAlignment="true" applyProtection="true">
      <alignment horizontal="right" vertical="center" textRotation="0" wrapText="false" indent="0" shrinkToFit="false"/>
      <protection locked="true" hidden="false"/>
    </xf>
    <xf numFmtId="176" fontId="9" fillId="0" borderId="1" xfId="0" applyFont="true" applyBorder="true" applyAlignment="true" applyProtection="true">
      <alignment horizontal="left" vertical="center" textRotation="0" wrapText="true" indent="0" shrinkToFit="false"/>
      <protection locked="true" hidden="false"/>
    </xf>
    <xf numFmtId="165" fontId="9" fillId="0" borderId="1" xfId="0" applyFont="true" applyBorder="true" applyAlignment="true" applyProtection="true">
      <alignment horizontal="left" vertical="center" textRotation="0" wrapText="false" indent="0" shrinkToFit="false"/>
      <protection locked="true" hidden="false"/>
    </xf>
    <xf numFmtId="166" fontId="5" fillId="11" borderId="1" xfId="0" applyFont="true" applyBorder="true" applyAlignment="true" applyProtection="true">
      <alignment horizontal="right" vertical="center" textRotation="0" wrapText="false" indent="0" shrinkToFit="false"/>
      <protection locked="true" hidden="false"/>
    </xf>
    <xf numFmtId="165" fontId="6" fillId="2" borderId="1" xfId="0" applyFont="true" applyBorder="true" applyAlignment="true" applyProtection="true">
      <alignment horizontal="general" vertical="bottom" textRotation="0" wrapText="false" indent="0" shrinkToFit="false"/>
      <protection locked="true" hidden="false"/>
    </xf>
    <xf numFmtId="164" fontId="6" fillId="2" borderId="1" xfId="0" applyFont="true" applyBorder="true" applyAlignment="true" applyProtection="true">
      <alignment horizontal="general" vertical="bottom" textRotation="0" wrapText="false" indent="0" shrinkToFit="false"/>
      <protection locked="true" hidden="false"/>
    </xf>
    <xf numFmtId="166" fontId="6" fillId="2" borderId="1" xfId="0" applyFont="true" applyBorder="tru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patternType="solid">
          <fgColor rgb="FF0F766E"/>
          <bgColor rgb="FF000000"/>
        </patternFill>
      </fill>
    </dxf>
    <dxf>
      <fill>
        <patternFill patternType="solid">
          <fgColor rgb="FFFFF9C4"/>
          <bgColor rgb="FF000000"/>
        </patternFill>
      </fill>
    </dxf>
    <dxf>
      <fill>
        <patternFill patternType="solid">
          <fgColor rgb="FF1F2937"/>
          <bgColor rgb="FF000000"/>
        </patternFill>
      </fill>
    </dxf>
    <dxf>
      <fill>
        <patternFill patternType="solid">
          <fgColor rgb="FFFFFFFF"/>
          <bgColor rgb="FF000000"/>
        </patternFill>
      </fill>
    </dxf>
    <dxf>
      <fill>
        <patternFill patternType="solid">
          <fgColor rgb="FFF0FDFA"/>
          <bgColor rgb="FF000000"/>
        </patternFill>
      </fill>
    </dxf>
    <dxf>
      <fill>
        <patternFill patternType="solid">
          <fgColor rgb="FF000000"/>
          <bgColor rgb="FF000000"/>
        </patternFill>
      </fill>
    </dxf>
  </dxfs>
  <colors>
    <indexedColors>
      <rgbColor rgb="FF000000"/>
      <rgbColor rgb="FFFFFFFF"/>
      <rgbColor rgb="FFDC2626"/>
      <rgbColor rgb="FF00FF00"/>
      <rgbColor rgb="FF0000FF"/>
      <rgbColor rgb="FFFFFF00"/>
      <rgbColor rgb="FFFF00FF"/>
      <rgbColor rgb="FF00FFFF"/>
      <rgbColor rgb="FF800000"/>
      <rgbColor rgb="FF008000"/>
      <rgbColor rgb="FF000080"/>
      <rgbColor rgb="FF808000"/>
      <rgbColor rgb="FF800080"/>
      <rgbColor rgb="FF0F766E"/>
      <rgbColor rgb="FFE5E7EB"/>
      <rgbColor rgb="FF808080"/>
      <rgbColor rgb="FF9999FF"/>
      <rgbColor rgb="FF993366"/>
      <rgbColor rgb="FFFFF9C4"/>
      <rgbColor rgb="FFCCFBF1"/>
      <rgbColor rgb="FF660066"/>
      <rgbColor rgb="FFFF8080"/>
      <rgbColor rgb="FF0066CC"/>
      <rgbColor rgb="FFD1D5DB"/>
      <rgbColor rgb="FF000080"/>
      <rgbColor rgb="FFFF00FF"/>
      <rgbColor rgb="FFFFFF00"/>
      <rgbColor rgb="FF00FFFF"/>
      <rgbColor rgb="FF800080"/>
      <rgbColor rgb="FF800000"/>
      <rgbColor rgb="FF0D9488"/>
      <rgbColor rgb="FF0000FF"/>
      <rgbColor rgb="FF00CCFF"/>
      <rgbColor rgb="FFE6F4F1"/>
      <rgbColor rgb="FFD1FAE5"/>
      <rgbColor rgb="FFFEF3C7"/>
      <rgbColor rgb="FFF3F4F6"/>
      <rgbColor rgb="FFF0FDFA"/>
      <rgbColor rgb="FFCC99FF"/>
      <rgbColor rgb="FFFEE2E2"/>
      <rgbColor rgb="FF3B82F6"/>
      <rgbColor rgb="FF33CCCC"/>
      <rgbColor rgb="FF99CC00"/>
      <rgbColor rgb="FFFFCC00"/>
      <rgbColor rgb="FFF59E0B"/>
      <rgbColor rgb="FFFF6600"/>
      <rgbColor rgb="FF6B7280"/>
      <rgbColor rgb="FF969696"/>
      <rgbColor rgb="FF003366"/>
      <rgbColor rgb="FF059669"/>
      <rgbColor rgb="FF003300"/>
      <rgbColor rgb="FF333300"/>
      <rgbColor rgb="FF993300"/>
      <rgbColor rgb="FF993366"/>
      <rgbColor rgb="FF333399"/>
      <rgbColor rgb="FF1F2937"/>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F766E"/>
    <pageSetUpPr fitToPage="false"/>
  </sheetPr>
  <dimension ref="A1:G2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6"/>
    <col collapsed="false" customWidth="true" hidden="false" outlineLevel="0" max="2" min="2" style="1" width="22"/>
    <col collapsed="false" customWidth="true" hidden="false" outlineLevel="0" max="5" min="3" style="1" width="14"/>
    <col collapsed="false" customWidth="true" hidden="false" outlineLevel="0" max="6" min="6" style="1" width="20"/>
    <col collapsed="false" customWidth="true" hidden="false" outlineLevel="0" max="7" min="7" style="1" width="52"/>
  </cols>
  <sheetData>
    <row r="1" customFormat="false" ht="19.5" hidden="false" customHeight="true" outlineLevel="0" collapsed="false">
      <c r="A1" s="2" t="s">
        <v>0</v>
      </c>
    </row>
    <row r="2" customFormat="false" ht="15" hidden="false" customHeight="true" outlineLevel="0" collapsed="false">
      <c r="A2" s="3" t="s">
        <v>1</v>
      </c>
      <c r="B2" s="4" t="n">
        <v>46317</v>
      </c>
      <c r="C2" s="5" t="s">
        <v>2</v>
      </c>
    </row>
    <row r="4" customFormat="false" ht="15" hidden="false" customHeight="true" outlineLevel="0" collapsed="false">
      <c r="A4" s="6" t="s">
        <v>3</v>
      </c>
      <c r="B4" s="6" t="s">
        <v>4</v>
      </c>
      <c r="C4" s="6" t="s">
        <v>5</v>
      </c>
      <c r="D4" s="6" t="s">
        <v>6</v>
      </c>
      <c r="E4" s="6" t="s">
        <v>7</v>
      </c>
      <c r="F4" s="6" t="s">
        <v>8</v>
      </c>
      <c r="G4" s="6" t="s">
        <v>9</v>
      </c>
    </row>
    <row r="5" customFormat="false" ht="34.5" hidden="false" customHeight="true" outlineLevel="0" collapsed="false">
      <c r="A5" s="7" t="s">
        <v>10</v>
      </c>
      <c r="B5" s="8" t="s">
        <v>11</v>
      </c>
      <c r="C5" s="9" t="n">
        <v>32228.99</v>
      </c>
      <c r="D5" s="10" t="n">
        <f aca="false">SUMIF('Invoice Register'!$B:$B,$A5,'Invoice Register'!$F:$F)</f>
        <v>32228.99</v>
      </c>
      <c r="E5" s="10" t="n">
        <f aca="false">SUMIFS('Invoice Register'!$F:$F,'Invoice Register'!$B:$B,$A5,'Invoice Register'!$G:$G,"&lt;&gt;")</f>
        <v>32228.99</v>
      </c>
      <c r="F5" s="10" t="n">
        <f aca="false">C5-D5</f>
        <v>0</v>
      </c>
      <c r="G5" s="11" t="s">
        <v>12</v>
      </c>
    </row>
    <row r="6" customFormat="false" ht="27.75" hidden="false" customHeight="true" outlineLevel="0" collapsed="false">
      <c r="A6" s="7" t="s">
        <v>13</v>
      </c>
      <c r="B6" s="8" t="s">
        <v>14</v>
      </c>
      <c r="C6" s="9" t="n">
        <v>17600</v>
      </c>
      <c r="D6" s="10" t="n">
        <f aca="false">SUMIF('Invoice Register'!$B:$B,$A6,'Invoice Register'!$F:$F)</f>
        <v>8400</v>
      </c>
      <c r="E6" s="10" t="n">
        <f aca="false">SUMIFS('Invoice Register'!$F:$F,'Invoice Register'!$B:$B,$A6,'Invoice Register'!$G:$G,"&lt;&gt;")</f>
        <v>8400</v>
      </c>
      <c r="F6" s="10" t="n">
        <f aca="false">C6-D6</f>
        <v>9200</v>
      </c>
      <c r="G6" s="11" t="s">
        <v>15</v>
      </c>
    </row>
    <row r="7" customFormat="false" ht="34.5" hidden="false" customHeight="true" outlineLevel="0" collapsed="false">
      <c r="A7" s="7" t="s">
        <v>16</v>
      </c>
      <c r="B7" s="8" t="s">
        <v>17</v>
      </c>
      <c r="C7" s="9" t="n">
        <v>5000</v>
      </c>
      <c r="D7" s="10" t="n">
        <f aca="false">SUMIF('Invoice Register'!$B:$B,$A7,'Invoice Register'!$F:$F)</f>
        <v>16659.97</v>
      </c>
      <c r="E7" s="10" t="n">
        <f aca="false">SUMIFS('Invoice Register'!$F:$F,'Invoice Register'!$B:$B,$A7,'Invoice Register'!$G:$G,"&lt;&gt;")</f>
        <v>16659.97</v>
      </c>
      <c r="F7" s="10" t="n">
        <f aca="false">C7-D7</f>
        <v>-11659.97</v>
      </c>
      <c r="G7" s="11" t="s">
        <v>18</v>
      </c>
    </row>
    <row r="8" customFormat="false" ht="27.75" hidden="false" customHeight="true" outlineLevel="0" collapsed="false">
      <c r="A8" s="7" t="s">
        <v>19</v>
      </c>
      <c r="B8" s="8" t="s">
        <v>14</v>
      </c>
      <c r="C8" s="9" t="n">
        <v>4700</v>
      </c>
      <c r="D8" s="10" t="n">
        <f aca="false">SUMIF('Invoice Register'!$B:$B,$A8,'Invoice Register'!$F:$F)</f>
        <v>4700.01</v>
      </c>
      <c r="E8" s="10" t="n">
        <f aca="false">SUMIFS('Invoice Register'!$F:$F,'Invoice Register'!$B:$B,$A8,'Invoice Register'!$G:$G,"&lt;&gt;")</f>
        <v>4700.01</v>
      </c>
      <c r="F8" s="10" t="n">
        <f aca="false">C8-D8</f>
        <v>-0.0100000000002183</v>
      </c>
      <c r="G8" s="11" t="s">
        <v>20</v>
      </c>
    </row>
    <row r="9" customFormat="false" ht="27.75" hidden="false" customHeight="true" outlineLevel="0" collapsed="false">
      <c r="A9" s="7" t="s">
        <v>21</v>
      </c>
      <c r="B9" s="8" t="s">
        <v>14</v>
      </c>
      <c r="C9" s="9" t="n">
        <v>5310</v>
      </c>
      <c r="D9" s="10" t="n">
        <f aca="false">SUMIF('Invoice Register'!$B:$B,$A9,'Invoice Register'!$F:$F)</f>
        <v>5310</v>
      </c>
      <c r="E9" s="10" t="n">
        <f aca="false">SUMIFS('Invoice Register'!$F:$F,'Invoice Register'!$B:$B,$A9,'Invoice Register'!$G:$G,"&lt;&gt;")</f>
        <v>5310</v>
      </c>
      <c r="F9" s="10" t="n">
        <f aca="false">C9-D9</f>
        <v>0</v>
      </c>
      <c r="G9" s="12" t="s">
        <v>22</v>
      </c>
    </row>
    <row r="10" customFormat="false" ht="15" hidden="false" customHeight="true" outlineLevel="0" collapsed="false">
      <c r="A10" s="7" t="s">
        <v>23</v>
      </c>
      <c r="B10" s="8" t="s">
        <v>24</v>
      </c>
      <c r="C10" s="9" t="n">
        <v>1130</v>
      </c>
      <c r="D10" s="10" t="n">
        <f aca="false">SUMIF('Invoice Register'!$B:$B,$A10,'Invoice Register'!$F:$F)</f>
        <v>1120.69</v>
      </c>
      <c r="E10" s="10" t="n">
        <f aca="false">SUMIFS('Invoice Register'!$F:$F,'Invoice Register'!$B:$B,$A10,'Invoice Register'!$G:$G,"&lt;&gt;")</f>
        <v>1120.69</v>
      </c>
      <c r="F10" s="10" t="n">
        <f aca="false">C10-D10</f>
        <v>9.30999999999995</v>
      </c>
      <c r="G10" s="11" t="s">
        <v>25</v>
      </c>
    </row>
    <row r="11" customFormat="false" ht="15" hidden="false" customHeight="true" outlineLevel="0" collapsed="false">
      <c r="A11" s="13" t="s">
        <v>26</v>
      </c>
      <c r="B11" s="14" t="s">
        <v>27</v>
      </c>
      <c r="C11" s="15" t="n">
        <v>1360</v>
      </c>
      <c r="D11" s="16" t="n">
        <f aca="false">SUMIF('Invoice Register'!$B:$B,$A11,'Invoice Register'!$F:$F)</f>
        <v>1460</v>
      </c>
      <c r="E11" s="16" t="n">
        <f aca="false">SUMIFS('Invoice Register'!$F:$F,'Invoice Register'!$B:$B,$A11,'Invoice Register'!$G:$G,"&lt;&gt;")</f>
        <v>1460</v>
      </c>
      <c r="F11" s="16" t="n">
        <f aca="false">C11-D11</f>
        <v>-100</v>
      </c>
      <c r="G11" s="17" t="s">
        <v>28</v>
      </c>
    </row>
    <row r="12" customFormat="false" ht="15" hidden="false" customHeight="true" outlineLevel="0" collapsed="false">
      <c r="A12" s="7" t="s">
        <v>29</v>
      </c>
      <c r="B12" s="8" t="s">
        <v>14</v>
      </c>
      <c r="C12" s="18" t="n">
        <v>2100</v>
      </c>
      <c r="D12" s="19" t="n">
        <f aca="false">SUMIF('Invoice Register'!$B:$B,$A12,'Invoice Register'!$F:$F)</f>
        <v>1984.93</v>
      </c>
      <c r="E12" s="19" t="n">
        <f aca="false">SUMIFS('Invoice Register'!$F:$F,'Invoice Register'!$B:$B,$A12,'Invoice Register'!$G:$G,"&lt;&gt;")</f>
        <v>1984.93</v>
      </c>
      <c r="F12" s="19" t="n">
        <f aca="false">C12-D12</f>
        <v>115.07</v>
      </c>
      <c r="G12" s="20" t="s">
        <v>30</v>
      </c>
    </row>
    <row r="13" customFormat="false" ht="15" hidden="false" customHeight="true" outlineLevel="0" collapsed="false">
      <c r="A13" s="21" t="s">
        <v>31</v>
      </c>
      <c r="B13" s="22"/>
      <c r="C13" s="15" t="n">
        <f aca="false">C5+C6+C7</f>
        <v>54828.99</v>
      </c>
      <c r="D13" s="15" t="n">
        <f aca="false">D5+D6+D7</f>
        <v>57288.96</v>
      </c>
      <c r="E13" s="15" t="n">
        <f aca="false">E5+E6+E7</f>
        <v>57288.96</v>
      </c>
      <c r="F13" s="15" t="n">
        <f aca="false">F5+F6+F7</f>
        <v>-2459.97</v>
      </c>
      <c r="G13" s="22"/>
    </row>
    <row r="14" customFormat="false" ht="15" hidden="false" customHeight="true" outlineLevel="0" collapsed="false">
      <c r="A14" s="23" t="s">
        <v>32</v>
      </c>
      <c r="B14" s="24"/>
      <c r="C14" s="25" t="n">
        <f aca="false">C8+C9+C10</f>
        <v>11140</v>
      </c>
      <c r="D14" s="25" t="n">
        <f aca="false">D8+D9+D10</f>
        <v>11130.7</v>
      </c>
      <c r="E14" s="25" t="n">
        <f aca="false">E8+E9+E10</f>
        <v>11130.7</v>
      </c>
      <c r="F14" s="25" t="n">
        <f aca="false">F8+F9+F10</f>
        <v>9.29999999999973</v>
      </c>
      <c r="G14" s="24"/>
    </row>
    <row r="15" customFormat="false" ht="15" hidden="false" customHeight="true" outlineLevel="0" collapsed="false">
      <c r="A15" s="26" t="s">
        <v>33</v>
      </c>
      <c r="B15" s="27"/>
      <c r="C15" s="28" t="n">
        <f aca="false">C11+C12+C13+C14</f>
        <v>69428.99</v>
      </c>
      <c r="D15" s="28" t="n">
        <f aca="false">D11+D12+D13</f>
        <v>60733.89</v>
      </c>
      <c r="E15" s="28" t="n">
        <f aca="false">E11+E12+E13</f>
        <v>60733.89</v>
      </c>
      <c r="F15" s="28" t="n">
        <f aca="false">F11+F12+F13</f>
        <v>-2444.9</v>
      </c>
      <c r="G15" s="27"/>
    </row>
    <row r="16" customFormat="false" ht="15" hidden="false" customHeight="true" outlineLevel="0" collapsed="false">
      <c r="A16" s="3" t="s">
        <v>34</v>
      </c>
      <c r="B16" s="29" t="n">
        <f aca="false">'Contingency Drawdown'!$D$4</f>
        <v>-11659.97</v>
      </c>
    </row>
    <row r="18" customFormat="false" ht="15" hidden="false" customHeight="true" outlineLevel="0" collapsed="false">
      <c r="A18" s="5" t="s">
        <v>35</v>
      </c>
    </row>
    <row r="20" customFormat="false" ht="15" hidden="false" customHeight="true" outlineLevel="0" collapsed="false">
      <c r="A20" s="3" t="s">
        <v>36</v>
      </c>
    </row>
    <row r="21" customFormat="false" ht="15" hidden="false" customHeight="true" outlineLevel="0" collapsed="false">
      <c r="A21" s="7" t="s">
        <v>37</v>
      </c>
      <c r="C21" s="9" t="n">
        <f aca="false">C6</f>
        <v>17600</v>
      </c>
      <c r="G21" s="11" t="s">
        <v>38</v>
      </c>
    </row>
    <row r="22" customFormat="false" ht="34.5" hidden="false" customHeight="true" outlineLevel="0" collapsed="false">
      <c r="A22" s="7" t="s">
        <v>39</v>
      </c>
      <c r="C22" s="9" t="n">
        <f aca="false">SUMIFS('Invoice Register'!$F:$F,'Invoice Register'!$B:$B,"Decking labour",'Invoice Register'!$H:$H,"Bank transfer")+SUMIFS('Invoice Register'!$F:$F,'Invoice Register'!$B:$B,"Decking labour",'Invoice Register'!$H:$H,"Cash*")/0.9</f>
        <v>8844.44444444445</v>
      </c>
      <c r="G22" s="11" t="s">
        <v>40</v>
      </c>
    </row>
    <row r="23" customFormat="false" ht="45.75" hidden="false" customHeight="true" outlineLevel="0" collapsed="false">
      <c r="A23" s="26" t="s">
        <v>41</v>
      </c>
      <c r="C23" s="28" t="n">
        <f aca="false">C21-C22</f>
        <v>8755.55555555556</v>
      </c>
      <c r="G23" s="11" t="s">
        <v>42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F766E"/>
    <pageSetUpPr fitToPage="false"/>
  </sheetPr>
  <dimension ref="A1:E4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2"/>
    <col collapsed="false" customWidth="true" hidden="false" outlineLevel="0" max="4" min="2" style="1" width="14"/>
    <col collapsed="false" customWidth="true" hidden="false" outlineLevel="0" max="5" min="5" style="1" width="55"/>
  </cols>
  <sheetData>
    <row r="1" customFormat="false" ht="19.5" hidden="false" customHeight="true" outlineLevel="0" collapsed="false">
      <c r="A1" s="2" t="s">
        <v>43</v>
      </c>
    </row>
    <row r="2" customFormat="false" ht="15" hidden="false" customHeight="true" outlineLevel="0" collapsed="false">
      <c r="A2" s="5" t="s">
        <v>44</v>
      </c>
    </row>
    <row r="4" customFormat="false" ht="15.75" hidden="false" customHeight="true" outlineLevel="0" collapsed="false">
      <c r="A4" s="30" t="s">
        <v>45</v>
      </c>
    </row>
    <row r="5" customFormat="false" ht="105" hidden="false" customHeight="true" outlineLevel="0" collapsed="false">
      <c r="A5" s="31" t="s">
        <v>46</v>
      </c>
      <c r="B5" s="31"/>
      <c r="C5" s="31"/>
      <c r="D5" s="31"/>
      <c r="E5" s="31"/>
    </row>
    <row r="7" customFormat="false" ht="43.5" hidden="false" customHeight="true" outlineLevel="0" collapsed="false">
      <c r="A7" s="32" t="s">
        <v>47</v>
      </c>
      <c r="B7" s="31" t="s">
        <v>48</v>
      </c>
      <c r="C7" s="31"/>
      <c r="D7" s="31"/>
      <c r="E7" s="31"/>
    </row>
    <row r="8" customFormat="false" ht="43.5" hidden="false" customHeight="true" outlineLevel="0" collapsed="false">
      <c r="A8" s="32" t="s">
        <v>49</v>
      </c>
      <c r="B8" s="31" t="s">
        <v>50</v>
      </c>
      <c r="C8" s="31"/>
      <c r="D8" s="31"/>
      <c r="E8" s="31"/>
    </row>
    <row r="9" customFormat="false" ht="61.5" hidden="false" customHeight="true" outlineLevel="0" collapsed="false">
      <c r="A9" s="32" t="s">
        <v>51</v>
      </c>
      <c r="B9" s="31" t="s">
        <v>52</v>
      </c>
      <c r="C9" s="31"/>
      <c r="D9" s="31"/>
      <c r="E9" s="31"/>
    </row>
    <row r="10" customFormat="false" ht="47.25" hidden="false" customHeight="true" outlineLevel="0" collapsed="false">
      <c r="A10" s="32" t="s">
        <v>53</v>
      </c>
      <c r="B10" s="31" t="s">
        <v>54</v>
      </c>
      <c r="C10" s="31"/>
      <c r="D10" s="31"/>
      <c r="E10" s="31"/>
    </row>
    <row r="11" customFormat="false" ht="47.25" hidden="false" customHeight="true" outlineLevel="0" collapsed="false">
      <c r="A11" s="32" t="s">
        <v>55</v>
      </c>
      <c r="B11" s="31" t="s">
        <v>56</v>
      </c>
      <c r="C11" s="31"/>
      <c r="D11" s="31"/>
      <c r="E11" s="31"/>
    </row>
    <row r="12" customFormat="false" ht="90.75" hidden="false" customHeight="true" outlineLevel="0" collapsed="false">
      <c r="A12" s="32" t="s">
        <v>57</v>
      </c>
      <c r="B12" s="31" t="s">
        <v>58</v>
      </c>
      <c r="C12" s="31"/>
      <c r="D12" s="31"/>
      <c r="E12" s="31"/>
    </row>
    <row r="13" customFormat="false" ht="76.5" hidden="false" customHeight="true" outlineLevel="0" collapsed="false">
      <c r="A13" s="32" t="s">
        <v>59</v>
      </c>
      <c r="B13" s="31" t="s">
        <v>60</v>
      </c>
      <c r="C13" s="31"/>
      <c r="D13" s="31"/>
      <c r="E13" s="31"/>
    </row>
    <row r="14" customFormat="false" ht="76.5" hidden="false" customHeight="true" outlineLevel="0" collapsed="false">
      <c r="A14" s="32" t="s">
        <v>61</v>
      </c>
      <c r="B14" s="31" t="s">
        <v>62</v>
      </c>
      <c r="C14" s="31"/>
      <c r="D14" s="31"/>
      <c r="E14" s="31"/>
    </row>
    <row r="15" customFormat="false" ht="15.75" hidden="false" customHeight="true" outlineLevel="0" collapsed="false"/>
    <row r="16" customFormat="false" ht="15" hidden="false" customHeight="true" outlineLevel="0" collapsed="false">
      <c r="A16" s="30" t="s">
        <v>63</v>
      </c>
    </row>
    <row r="17" customFormat="false" ht="31.5" hidden="false" customHeight="true" outlineLevel="0" collapsed="false">
      <c r="A17" s="33" t="s">
        <v>3</v>
      </c>
      <c r="B17" s="34" t="s">
        <v>64</v>
      </c>
      <c r="C17" s="34" t="s">
        <v>65</v>
      </c>
      <c r="D17" s="34" t="s">
        <v>66</v>
      </c>
      <c r="E17" s="33" t="s">
        <v>67</v>
      </c>
    </row>
    <row r="18" customFormat="false" ht="31.5" hidden="false" customHeight="true" outlineLevel="0" collapsed="false">
      <c r="A18" s="8" t="s">
        <v>68</v>
      </c>
      <c r="B18" s="35" t="n">
        <v>3200</v>
      </c>
      <c r="C18" s="35" t="n">
        <v>3200</v>
      </c>
      <c r="D18" s="36" t="n">
        <v>0</v>
      </c>
      <c r="E18" s="8" t="s">
        <v>69</v>
      </c>
    </row>
    <row r="19" customFormat="false" ht="31.5" hidden="false" customHeight="true" outlineLevel="0" collapsed="false">
      <c r="A19" s="37" t="s">
        <v>70</v>
      </c>
      <c r="B19" s="38" t="n">
        <v>3800</v>
      </c>
      <c r="C19" s="38" t="n">
        <v>3610</v>
      </c>
      <c r="D19" s="39" t="n">
        <v>-190</v>
      </c>
      <c r="E19" s="37" t="s">
        <v>71</v>
      </c>
    </row>
    <row r="20" customFormat="false" ht="61.5" hidden="false" customHeight="true" outlineLevel="0" collapsed="false">
      <c r="A20" s="8" t="s">
        <v>72</v>
      </c>
      <c r="B20" s="35" t="n">
        <v>17600</v>
      </c>
      <c r="C20" s="35" t="n">
        <v>8400</v>
      </c>
      <c r="D20" s="40" t="n">
        <v>-9200</v>
      </c>
      <c r="E20" s="8" t="s">
        <v>73</v>
      </c>
    </row>
    <row r="21" customFormat="false" ht="31.5" hidden="false" customHeight="true" outlineLevel="0" collapsed="false">
      <c r="A21" s="8" t="s">
        <v>10</v>
      </c>
      <c r="B21" s="35" t="n">
        <v>32228.99</v>
      </c>
      <c r="C21" s="35" t="n">
        <v>32228.99</v>
      </c>
      <c r="D21" s="36" t="n">
        <v>0</v>
      </c>
      <c r="E21" s="8" t="s">
        <v>74</v>
      </c>
    </row>
    <row r="22" customFormat="false" ht="33" hidden="false" customHeight="true" outlineLevel="0" collapsed="false">
      <c r="A22" s="8" t="s">
        <v>75</v>
      </c>
      <c r="B22" s="35" t="n">
        <v>3200</v>
      </c>
      <c r="C22" s="35" t="n">
        <v>3200</v>
      </c>
      <c r="D22" s="36" t="n">
        <v>0</v>
      </c>
      <c r="E22" s="8" t="s">
        <v>76</v>
      </c>
    </row>
    <row r="23" customFormat="false" ht="47.25" hidden="false" customHeight="true" outlineLevel="0" collapsed="false">
      <c r="A23" s="37" t="s">
        <v>77</v>
      </c>
      <c r="B23" s="38" t="n">
        <v>1130</v>
      </c>
      <c r="C23" s="38" t="n">
        <v>1120.69</v>
      </c>
      <c r="D23" s="39" t="n">
        <v>-9.31</v>
      </c>
      <c r="E23" s="37" t="s">
        <v>78</v>
      </c>
    </row>
    <row r="24" customFormat="false" ht="90.75" hidden="false" customHeight="true" outlineLevel="0" collapsed="false">
      <c r="A24" s="41" t="s">
        <v>79</v>
      </c>
      <c r="B24" s="42" t="n">
        <v>1360</v>
      </c>
      <c r="C24" s="42" t="n">
        <v>1460</v>
      </c>
      <c r="D24" s="43" t="n">
        <v>100</v>
      </c>
      <c r="E24" s="41" t="s">
        <v>80</v>
      </c>
    </row>
    <row r="25" customFormat="false" ht="134.25" hidden="false" customHeight="true" outlineLevel="0" collapsed="false">
      <c r="A25" s="44" t="s">
        <v>81</v>
      </c>
      <c r="B25" s="45" t="n">
        <v>2100</v>
      </c>
      <c r="C25" s="45" t="n">
        <v>1990.4</v>
      </c>
      <c r="D25" s="46" t="n">
        <v>-109.6</v>
      </c>
      <c r="E25" s="44" t="s">
        <v>82</v>
      </c>
    </row>
    <row r="26" customFormat="false" ht="134.25" hidden="false" customHeight="true" outlineLevel="0" collapsed="false">
      <c r="A26" s="41" t="s">
        <v>16</v>
      </c>
      <c r="B26" s="42" t="n">
        <v>5000</v>
      </c>
      <c r="C26" s="42" t="n">
        <v>16659.97</v>
      </c>
      <c r="D26" s="43" t="n">
        <v>11659.97</v>
      </c>
      <c r="E26" s="41" t="s">
        <v>83</v>
      </c>
    </row>
    <row r="27" customFormat="false" ht="33" hidden="false" customHeight="true" outlineLevel="0" collapsed="false">
      <c r="A27" s="47" t="s">
        <v>84</v>
      </c>
      <c r="B27" s="48" t="n">
        <v>69618.99</v>
      </c>
      <c r="C27" s="48" t="n">
        <v>71870.05</v>
      </c>
      <c r="D27" s="49" t="n">
        <v>2251.06</v>
      </c>
    </row>
    <row r="28" customFormat="false" ht="43.5" hidden="false" customHeight="true" outlineLevel="0" collapsed="false">
      <c r="A28" s="50"/>
      <c r="B28" s="50"/>
      <c r="C28" s="50"/>
      <c r="D28" s="50"/>
      <c r="E28" s="50"/>
    </row>
    <row r="29" customFormat="false" ht="149.25" hidden="false" customHeight="true" outlineLevel="0" collapsed="false">
      <c r="A29" s="51" t="s">
        <v>85</v>
      </c>
    </row>
    <row r="30" customFormat="false" ht="49.5" hidden="false" customHeight="true" outlineLevel="0" collapsed="false">
      <c r="A30" s="52" t="s">
        <v>86</v>
      </c>
      <c r="B30" s="52"/>
      <c r="C30" s="52"/>
      <c r="D30" s="52"/>
      <c r="E30" s="52"/>
    </row>
    <row r="31" customFormat="false" ht="15" hidden="false" customHeight="true" outlineLevel="0" collapsed="false"/>
    <row r="32" customFormat="false" ht="15" hidden="false" customHeight="true" outlineLevel="0" collapsed="false">
      <c r="A32" s="53" t="s">
        <v>87</v>
      </c>
      <c r="C32" s="54" t="n">
        <v>4700</v>
      </c>
    </row>
    <row r="33" customFormat="false" ht="15" hidden="false" customHeight="true" outlineLevel="0" collapsed="false">
      <c r="A33" s="53" t="s">
        <v>88</v>
      </c>
      <c r="C33" s="54" t="n">
        <v>5310</v>
      </c>
    </row>
    <row r="34" customFormat="false" ht="27.75" hidden="false" customHeight="true" outlineLevel="0" collapsed="false">
      <c r="A34" s="53" t="s">
        <v>89</v>
      </c>
      <c r="C34" s="54" t="n">
        <v>17600</v>
      </c>
    </row>
    <row r="35" customFormat="false" ht="27.75" hidden="false" customHeight="true" outlineLevel="0" collapsed="false">
      <c r="A35" s="53" t="s">
        <v>90</v>
      </c>
      <c r="C35" s="54" t="n">
        <v>32228.99</v>
      </c>
    </row>
    <row r="36" customFormat="false" ht="33" hidden="false" customHeight="true" outlineLevel="0" collapsed="false">
      <c r="A36" s="53" t="s">
        <v>91</v>
      </c>
      <c r="C36" s="54" t="n">
        <v>1130</v>
      </c>
    </row>
    <row r="37" customFormat="false" ht="33" hidden="false" customHeight="true" outlineLevel="0" collapsed="false">
      <c r="A37" s="53" t="s">
        <v>92</v>
      </c>
      <c r="C37" s="54" t="n">
        <v>1360</v>
      </c>
    </row>
    <row r="38" customFormat="false" ht="33" hidden="false" customHeight="true" outlineLevel="0" collapsed="false">
      <c r="A38" s="53" t="s">
        <v>93</v>
      </c>
      <c r="C38" s="54" t="n">
        <v>5000</v>
      </c>
    </row>
    <row r="39" customFormat="false" ht="33" hidden="false" customHeight="true" outlineLevel="0" collapsed="false">
      <c r="A39" s="55" t="s">
        <v>94</v>
      </c>
      <c r="C39" s="54" t="n">
        <v>2100</v>
      </c>
    </row>
    <row r="40" customFormat="false" ht="18" hidden="false" customHeight="true" outlineLevel="0" collapsed="false">
      <c r="A40" s="56" t="s">
        <v>95</v>
      </c>
      <c r="B40" s="57"/>
      <c r="C40" s="58" t="n">
        <f aca="false">SUM(C32:C39)</f>
        <v>69428.99</v>
      </c>
      <c r="D40" s="57"/>
      <c r="E40" s="57"/>
    </row>
    <row r="41" customFormat="false" ht="30" hidden="false" customHeight="true" outlineLevel="0" collapsed="false">
      <c r="A41" s="56" t="s">
        <v>96</v>
      </c>
      <c r="B41" s="57"/>
      <c r="C41" s="58" t="n">
        <f aca="false">Summary!C15</f>
        <v>69428.99</v>
      </c>
      <c r="D41" s="57"/>
      <c r="E41" s="57"/>
    </row>
    <row r="42" customFormat="false" ht="15" hidden="false" customHeight="true" outlineLevel="0" collapsed="false">
      <c r="A42" s="56" t="s">
        <v>97</v>
      </c>
      <c r="B42" s="57"/>
      <c r="C42" s="59" t="n">
        <f aca="false">C40-C41</f>
        <v>0</v>
      </c>
      <c r="D42" s="57"/>
      <c r="E42" s="57"/>
    </row>
  </sheetData>
  <mergeCells count="11">
    <mergeCell ref="A5:E5"/>
    <mergeCell ref="B7:E7"/>
    <mergeCell ref="B8:E8"/>
    <mergeCell ref="B9:E9"/>
    <mergeCell ref="B10:E10"/>
    <mergeCell ref="B11:E11"/>
    <mergeCell ref="B12:E12"/>
    <mergeCell ref="B13:E13"/>
    <mergeCell ref="B14:E14"/>
    <mergeCell ref="A28:E28"/>
    <mergeCell ref="A30:E3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F766E"/>
    <pageSetUpPr fitToPage="false"/>
  </sheetPr>
  <dimension ref="A1:E8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62"/>
    <col collapsed="false" customWidth="true" hidden="false" outlineLevel="0" max="2" min="2" style="1" width="15"/>
    <col collapsed="false" customWidth="true" hidden="false" outlineLevel="0" max="3" min="3" style="1" width="10"/>
    <col collapsed="false" customWidth="true" hidden="false" outlineLevel="0" max="4" min="4" style="1" width="30"/>
    <col collapsed="false" customWidth="true" hidden="false" outlineLevel="0" max="5" min="5" style="1" width="90"/>
  </cols>
  <sheetData>
    <row r="1" customFormat="false" ht="19.5" hidden="false" customHeight="true" outlineLevel="0" collapsed="false">
      <c r="A1" s="2" t="s">
        <v>98</v>
      </c>
    </row>
    <row r="2" customFormat="false" ht="15" hidden="false" customHeight="true" outlineLevel="0" collapsed="false">
      <c r="A2" s="5" t="s">
        <v>99</v>
      </c>
    </row>
    <row r="3" customFormat="false" ht="36" hidden="false" customHeight="true" outlineLevel="0" collapsed="false">
      <c r="A3" s="60" t="str">
        <f aca="false">"Short answer: Contingency has £"&amp;TEXT(B7,"#,##0.00")&amp;" drawn against a £"&amp;TEXT(B6,"#,##0")&amp;" pot — £"&amp;TEXT(B10,"#,##0.00")&amp;" over. About "&amp;TEXT(C14,"0%")&amp;" of it is a new area of decking (the extended deck and shed base) that was not in the pot's original purposes."</f>
        <v>Short answer: Contingency has £16,659.97 drawn against a £5,000 pot — £11,659.97 over. About 62% of it is a new area of decking (the extended deck and shed base) that was not in the pot's original purposes.</v>
      </c>
      <c r="B3" s="60"/>
      <c r="C3" s="60"/>
      <c r="D3" s="60"/>
      <c r="E3" s="60"/>
    </row>
    <row r="5" customFormat="false" ht="15.75" hidden="false" customHeight="true" outlineLevel="0" collapsed="false">
      <c r="A5" s="30" t="s">
        <v>100</v>
      </c>
    </row>
    <row r="6" customFormat="false" ht="27.75" hidden="false" customHeight="true" outlineLevel="0" collapsed="false">
      <c r="A6" s="61" t="s">
        <v>101</v>
      </c>
      <c r="B6" s="62" t="n">
        <f aca="false">Summary!C7</f>
        <v>5000</v>
      </c>
      <c r="C6" s="61"/>
      <c r="D6" s="61"/>
      <c r="E6" s="61" t="s">
        <v>102</v>
      </c>
    </row>
    <row r="7" customFormat="false" ht="15" hidden="false" customHeight="true" outlineLevel="0" collapsed="false">
      <c r="A7" s="61" t="s">
        <v>103</v>
      </c>
      <c r="B7" s="62" t="n">
        <f aca="false">Summary!D7</f>
        <v>16659.97</v>
      </c>
      <c r="C7" s="61"/>
      <c r="D7" s="61"/>
      <c r="E7" s="61" t="s">
        <v>104</v>
      </c>
    </row>
    <row r="8" customFormat="false" ht="15" hidden="false" customHeight="true" outlineLevel="0" collapsed="false">
      <c r="A8" s="61" t="s">
        <v>105</v>
      </c>
      <c r="B8" s="62" t="n">
        <f aca="false">Summary!E7</f>
        <v>16659.97</v>
      </c>
      <c r="C8" s="61"/>
      <c r="D8" s="61"/>
      <c r="E8" s="61"/>
    </row>
    <row r="9" customFormat="false" ht="15" hidden="false" customHeight="true" outlineLevel="0" collapsed="false">
      <c r="A9" s="61" t="s">
        <v>106</v>
      </c>
      <c r="B9" s="62" t="n">
        <f aca="false">B7-B8</f>
        <v>0</v>
      </c>
      <c r="C9" s="61"/>
      <c r="D9" s="61"/>
      <c r="E9" s="61" t="s">
        <v>107</v>
      </c>
    </row>
    <row r="10" customFormat="false" ht="15" hidden="false" customHeight="true" outlineLevel="0" collapsed="false">
      <c r="A10" s="63" t="s">
        <v>108</v>
      </c>
      <c r="B10" s="64" t="n">
        <f aca="false">B7-B6</f>
        <v>11659.97</v>
      </c>
      <c r="C10" s="63"/>
      <c r="D10" s="63"/>
      <c r="E10" s="63"/>
    </row>
    <row r="12" customFormat="false" ht="15.75" hidden="false" customHeight="true" outlineLevel="0" collapsed="false">
      <c r="A12" s="30" t="s">
        <v>109</v>
      </c>
    </row>
    <row r="13" customFormat="false" ht="15" hidden="false" customHeight="true" outlineLevel="0" collapsed="false">
      <c r="A13" s="65" t="s">
        <v>110</v>
      </c>
      <c r="B13" s="65" t="s">
        <v>111</v>
      </c>
      <c r="C13" s="65" t="s">
        <v>112</v>
      </c>
      <c r="D13" s="65" t="s">
        <v>113</v>
      </c>
      <c r="E13" s="65" t="s">
        <v>114</v>
      </c>
    </row>
    <row r="14" customFormat="false" ht="27.75" hidden="false" customHeight="true" outlineLevel="0" collapsed="false">
      <c r="A14" s="61" t="s">
        <v>115</v>
      </c>
      <c r="B14" s="62" t="n">
        <f aca="false">SUMIFS('Contingency Drawdown'!$E$8:$E$60,'Contingency Drawdown'!$J$8:$J$60,"Extended deck &amp; shed base")</f>
        <v>10371.8</v>
      </c>
      <c r="C14" s="66" t="n">
        <f aca="false">B14/B$21</f>
        <v>0.622558143862204</v>
      </c>
      <c r="D14" s="61" t="s">
        <v>116</v>
      </c>
      <c r="E14" s="61" t="s">
        <v>117</v>
      </c>
    </row>
    <row r="15" customFormat="false" ht="27.75" hidden="false" customHeight="true" outlineLevel="0" collapsed="false">
      <c r="A15" s="61" t="s">
        <v>118</v>
      </c>
      <c r="B15" s="62" t="n">
        <f aca="false">SUMIFS('Contingency Drawdown'!$E$8:$E$60,'Contingency Drawdown'!$J$8:$J$60,"Main deck")</f>
        <v>2760.44</v>
      </c>
      <c r="C15" s="66" t="n">
        <f aca="false">B15/B$21</f>
        <v>0.165692975437531</v>
      </c>
      <c r="D15" s="61" t="s">
        <v>119</v>
      </c>
      <c r="E15" s="61" t="s">
        <v>120</v>
      </c>
    </row>
    <row r="16" customFormat="false" ht="27.75" hidden="false" customHeight="true" outlineLevel="0" collapsed="false">
      <c r="A16" s="61" t="s">
        <v>121</v>
      </c>
      <c r="B16" s="62" t="n">
        <f aca="false">SUMIFS('Contingency Drawdown'!$E$8:$E$60,'Contingency Drawdown'!$J$8:$J$60,"Groundworks (digger &amp; dumper)")</f>
        <v>836.37</v>
      </c>
      <c r="C16" s="66" t="n">
        <f aca="false">B16/B$21</f>
        <v>0.0502023713127935</v>
      </c>
      <c r="D16" s="61" t="s">
        <v>122</v>
      </c>
      <c r="E16" s="61" t="s">
        <v>123</v>
      </c>
    </row>
    <row r="17" customFormat="false" ht="15" hidden="false" customHeight="true" outlineLevel="0" collapsed="false">
      <c r="A17" s="61" t="s">
        <v>124</v>
      </c>
      <c r="B17" s="62" t="n">
        <f aca="false">SUMIFS('Contingency Drawdown'!$E$8:$E$60,'Contingency Drawdown'!$J$8:$J$60,"Fence relocation")</f>
        <v>606.17</v>
      </c>
      <c r="C17" s="66" t="n">
        <f aca="false">B17/B$21</f>
        <v>0.0363848194204431</v>
      </c>
      <c r="D17" s="61" t="s">
        <v>125</v>
      </c>
      <c r="E17" s="61" t="s">
        <v>126</v>
      </c>
    </row>
    <row r="18" customFormat="false" ht="15" hidden="false" customHeight="true" outlineLevel="0" collapsed="false">
      <c r="A18" s="61" t="s">
        <v>127</v>
      </c>
      <c r="B18" s="62" t="n">
        <f aca="false">SUMIFS('Contingency Drawdown'!$E$8:$E$60,'Contingency Drawdown'!$J$8:$J$60,"Chimney &amp; coping")+SUMIFS('Contingency Drawdown'!$E$8:$E$60,'Contingency Drawdown'!$J$8:$J$60,"Shared / site-wide")</f>
        <v>1735.19</v>
      </c>
      <c r="C18" s="66" t="n">
        <f aca="false">B18/B$21</f>
        <v>0.104153248775358</v>
      </c>
      <c r="D18" s="61" t="s">
        <v>122</v>
      </c>
      <c r="E18" s="61" t="s">
        <v>128</v>
      </c>
    </row>
    <row r="19" customFormat="false" ht="15" hidden="false" customHeight="true" outlineLevel="0" collapsed="false">
      <c r="A19" s="61" t="s">
        <v>129</v>
      </c>
      <c r="B19" s="62" t="n">
        <f aca="false">SUMIFS('Contingency Drawdown'!$E$8:$E$60,'Contingency Drawdown'!$J$8:$J$60,"Driveway channel")</f>
        <v>350</v>
      </c>
      <c r="C19" s="66" t="n">
        <f aca="false">B19/B$21</f>
        <v>0.0210084411916708</v>
      </c>
      <c r="D19" s="61" t="s">
        <v>116</v>
      </c>
      <c r="E19" s="61" t="s">
        <v>130</v>
      </c>
    </row>
    <row r="20" customFormat="false" ht="15" hidden="false" customHeight="true" outlineLevel="0" collapsed="false">
      <c r="A20" s="61" t="s">
        <v>131</v>
      </c>
      <c r="B20" s="62" t="n">
        <f aca="false">SUMIFS('Contingency Drawdown'!$E$8:$E$60,'Contingency Drawdown'!$J$8:$J$60,"New shed &amp; electrics")</f>
        <v>0</v>
      </c>
      <c r="C20" s="66" t="n">
        <f aca="false">B20/B$21</f>
        <v>0</v>
      </c>
      <c r="D20" s="61" t="s">
        <v>116</v>
      </c>
      <c r="E20" s="61" t="s">
        <v>132</v>
      </c>
    </row>
    <row r="21" customFormat="false" ht="15" hidden="false" customHeight="true" outlineLevel="0" collapsed="false">
      <c r="A21" s="63" t="s">
        <v>133</v>
      </c>
      <c r="B21" s="64" t="n">
        <f aca="false">SUM(B14:B20)</f>
        <v>16659.97</v>
      </c>
      <c r="C21" s="67" t="n">
        <f aca="false">SUM(C14:C20)</f>
        <v>1</v>
      </c>
      <c r="D21" s="63"/>
      <c r="E21" s="63"/>
    </row>
    <row r="22" customFormat="false" ht="15" hidden="false" customHeight="true" outlineLevel="0" collapsed="false">
      <c r="A22" s="61" t="s">
        <v>134</v>
      </c>
      <c r="B22" s="62" t="n">
        <f aca="false">ROUND(B21-Summary!D7,2)</f>
        <v>0</v>
      </c>
      <c r="C22" s="61"/>
      <c r="D22" s="61"/>
      <c r="E22" s="61"/>
    </row>
    <row r="24" customFormat="false" ht="15.75" hidden="false" customHeight="true" outlineLevel="0" collapsed="false">
      <c r="A24" s="30" t="s">
        <v>135</v>
      </c>
    </row>
    <row r="25" customFormat="false" ht="15" hidden="false" customHeight="true" outlineLevel="0" collapsed="false">
      <c r="A25" s="65" t="s">
        <v>136</v>
      </c>
      <c r="B25" s="65" t="s">
        <v>111</v>
      </c>
      <c r="C25" s="65"/>
      <c r="D25" s="65" t="s">
        <v>137</v>
      </c>
      <c r="E25" s="65" t="s">
        <v>138</v>
      </c>
    </row>
    <row r="26" customFormat="false" ht="15" hidden="false" customHeight="true" outlineLevel="0" collapsed="false">
      <c r="A26" s="61" t="s">
        <v>139</v>
      </c>
      <c r="B26" s="62" t="n">
        <f aca="false">SUMIFS('Contingency Drawdown'!$E$8:$E$60,'Contingency Drawdown'!$A$8:$A$60,24)</f>
        <v>5322.74</v>
      </c>
      <c r="C26" s="61"/>
      <c r="D26" s="61" t="s">
        <v>140</v>
      </c>
      <c r="E26" s="61" t="s">
        <v>141</v>
      </c>
    </row>
    <row r="27" customFormat="false" ht="15" hidden="false" customHeight="true" outlineLevel="0" collapsed="false">
      <c r="A27" s="61" t="s">
        <v>142</v>
      </c>
      <c r="B27" s="62" t="n">
        <f aca="false">SUMIFS('Contingency Drawdown'!$E$8:$E$60,'Contingency Drawdown'!$A$8:$A$60,11)</f>
        <v>1260</v>
      </c>
      <c r="C27" s="61"/>
      <c r="D27" s="61" t="s">
        <v>143</v>
      </c>
      <c r="E27" s="61" t="s">
        <v>144</v>
      </c>
    </row>
    <row r="28" customFormat="false" ht="15" hidden="false" customHeight="true" outlineLevel="0" collapsed="false">
      <c r="A28" s="61" t="s">
        <v>145</v>
      </c>
      <c r="B28" s="62" t="n">
        <f aca="false">SUMIFS('Contingency Drawdown'!$E$8:$E$60,'Contingency Drawdown'!$A$8:$A$60,14)</f>
        <v>360</v>
      </c>
      <c r="C28" s="61"/>
      <c r="D28" s="61" t="s">
        <v>146</v>
      </c>
      <c r="E28" s="61" t="s">
        <v>144</v>
      </c>
    </row>
    <row r="29" customFormat="false" ht="15" hidden="false" customHeight="true" outlineLevel="0" collapsed="false">
      <c r="A29" s="61" t="s">
        <v>147</v>
      </c>
      <c r="B29" s="62" t="n">
        <f aca="false">SUMIFS('Contingency Drawdown'!$E$8:$E$60,'Contingency Drawdown'!$A$8:$A$60,29)+SUMIFS('Contingency Drawdown'!$E$8:$E$60,'Contingency Drawdown'!$A$8:$A$60,30)</f>
        <v>111.06</v>
      </c>
      <c r="C29" s="61"/>
      <c r="D29" s="61" t="s">
        <v>148</v>
      </c>
      <c r="E29" s="61" t="s">
        <v>149</v>
      </c>
    </row>
    <row r="30" customFormat="false" ht="15" hidden="false" customHeight="true" outlineLevel="0" collapsed="false">
      <c r="A30" s="61" t="s">
        <v>150</v>
      </c>
      <c r="B30" s="62" t="n">
        <f aca="false">SUMIFS('Contingency Drawdown'!$E$8:$E$60,'Contingency Drawdown'!$A$8:$A$60,32)</f>
        <v>1050</v>
      </c>
      <c r="C30" s="61"/>
      <c r="D30" s="61" t="s">
        <v>151</v>
      </c>
      <c r="E30" s="61" t="s">
        <v>152</v>
      </c>
    </row>
    <row r="31" customFormat="false" ht="15" hidden="false" customHeight="true" outlineLevel="0" collapsed="false">
      <c r="A31" s="61" t="s">
        <v>153</v>
      </c>
      <c r="B31" s="62" t="n">
        <f aca="false">SUMIFS('Contingency Drawdown'!$E$8:$E$60,'Contingency Drawdown'!$A$8:$A$60,36)</f>
        <v>1000</v>
      </c>
      <c r="C31" s="61"/>
      <c r="D31" s="61" t="s">
        <v>154</v>
      </c>
      <c r="E31" s="61" t="s">
        <v>155</v>
      </c>
    </row>
    <row r="32" customFormat="false" ht="15" hidden="false" customHeight="true" outlineLevel="0" collapsed="false">
      <c r="A32" s="61" t="s">
        <v>156</v>
      </c>
      <c r="B32" s="62" t="n">
        <f aca="false">SUMIFS('Contingency Drawdown'!$E$8:$E$60,'Contingency Drawdown'!$A$8:$A$60,38)</f>
        <v>1268</v>
      </c>
      <c r="C32" s="61"/>
      <c r="D32" s="61" t="s">
        <v>157</v>
      </c>
      <c r="E32" s="61" t="s">
        <v>158</v>
      </c>
    </row>
    <row r="33" customFormat="false" ht="15" hidden="false" customHeight="true" outlineLevel="0" collapsed="false">
      <c r="A33" s="63" t="s">
        <v>159</v>
      </c>
      <c r="B33" s="64" t="n">
        <f aca="false">SUM(B26:B32)</f>
        <v>10371.8</v>
      </c>
      <c r="C33" s="63"/>
      <c r="D33" s="63"/>
      <c r="E33" s="63"/>
    </row>
    <row r="34" customFormat="false" ht="15" hidden="false" customHeight="true" outlineLevel="0" collapsed="false">
      <c r="A34" s="61" t="s">
        <v>160</v>
      </c>
      <c r="B34" s="62" t="n">
        <f aca="false">ROUND(B33-B14,2)</f>
        <v>0</v>
      </c>
      <c r="C34" s="61"/>
      <c r="D34" s="61"/>
      <c r="E34" s="61"/>
    </row>
    <row r="35" customFormat="false" ht="15" hidden="false" customHeight="true" outlineLevel="0" collapsed="false">
      <c r="A35" s="61" t="s">
        <v>161</v>
      </c>
      <c r="B35" s="62" t="n">
        <f aca="false">B15-B36-B37-B38</f>
        <v>1592.15</v>
      </c>
      <c r="C35" s="61"/>
      <c r="D35" s="61" t="s">
        <v>162</v>
      </c>
      <c r="E35" s="61" t="s">
        <v>163</v>
      </c>
    </row>
    <row r="36" customFormat="false" ht="15" hidden="false" customHeight="true" outlineLevel="0" collapsed="false">
      <c r="A36" s="61" t="s">
        <v>164</v>
      </c>
      <c r="B36" s="62" t="n">
        <f aca="false">SUMIFS('Contingency Drawdown'!$E$8:$E$60,'Contingency Drawdown'!$A$8:$A$60,8)+SUMIFS('Contingency Drawdown'!$E$8:$E$60,'Contingency Drawdown'!$A$8:$A$60,9)</f>
        <v>283.32</v>
      </c>
      <c r="C36" s="61"/>
      <c r="D36" s="61" t="s">
        <v>165</v>
      </c>
      <c r="E36" s="61" t="s">
        <v>166</v>
      </c>
    </row>
    <row r="37" customFormat="false" ht="15" hidden="false" customHeight="true" outlineLevel="0" collapsed="false">
      <c r="A37" s="61" t="s">
        <v>167</v>
      </c>
      <c r="B37" s="62" t="n">
        <f aca="false">SUMIFS('Contingency Drawdown'!$E$8:$E$60,'Contingency Drawdown'!$A$8:$A$60,4)</f>
        <v>800</v>
      </c>
      <c r="C37" s="61"/>
      <c r="D37" s="61" t="s">
        <v>168</v>
      </c>
      <c r="E37" s="61" t="s">
        <v>169</v>
      </c>
    </row>
    <row r="38" customFormat="false" ht="15" hidden="false" customHeight="true" outlineLevel="0" collapsed="false">
      <c r="A38" s="61" t="s">
        <v>170</v>
      </c>
      <c r="B38" s="62" t="n">
        <f aca="false">SUMIFS('Contingency Drawdown'!$E$8:$E$60,'Contingency Drawdown'!$A$8:$A$60,33)</f>
        <v>84.97</v>
      </c>
      <c r="C38" s="61"/>
      <c r="D38" s="61" t="s">
        <v>171</v>
      </c>
      <c r="E38" s="61" t="s">
        <v>172</v>
      </c>
    </row>
    <row r="39" customFormat="false" ht="15" hidden="false" customHeight="true" outlineLevel="0" collapsed="false">
      <c r="A39" s="61" t="s">
        <v>173</v>
      </c>
      <c r="B39" s="62" t="n">
        <f aca="false">SUMIFS('Contingency Drawdown'!$E$8:$E$60,'Contingency Drawdown'!$A$8:$A$60,10)</f>
        <v>378.58</v>
      </c>
      <c r="C39" s="61"/>
      <c r="D39" s="61" t="s">
        <v>174</v>
      </c>
      <c r="E39" s="61" t="s">
        <v>175</v>
      </c>
    </row>
    <row r="40" customFormat="false" ht="15" hidden="false" customHeight="true" outlineLevel="0" collapsed="false">
      <c r="A40" s="61" t="s">
        <v>176</v>
      </c>
      <c r="B40" s="62" t="n">
        <f aca="false">SUMIFS('Contingency Drawdown'!$E$8:$E$60,'Contingency Drawdown'!$A$8:$A$60,28)</f>
        <v>277.79</v>
      </c>
      <c r="C40" s="61"/>
      <c r="D40" s="61" t="s">
        <v>177</v>
      </c>
      <c r="E40" s="61" t="s">
        <v>178</v>
      </c>
    </row>
    <row r="41" customFormat="false" ht="15" hidden="false" customHeight="true" outlineLevel="0" collapsed="false">
      <c r="A41" s="61" t="s">
        <v>179</v>
      </c>
      <c r="B41" s="62" t="n">
        <f aca="false">SUMIFS('Contingency Drawdown'!$E$8:$E$60,'Contingency Drawdown'!$A$8:$A$60,12)</f>
        <v>180</v>
      </c>
      <c r="C41" s="61"/>
      <c r="D41" s="61" t="s">
        <v>180</v>
      </c>
      <c r="E41" s="61" t="s">
        <v>144</v>
      </c>
    </row>
    <row r="42" customFormat="false" ht="15" hidden="false" customHeight="true" outlineLevel="0" collapsed="false">
      <c r="A42" s="61" t="s">
        <v>181</v>
      </c>
      <c r="B42" s="62" t="n">
        <f aca="false">SUMIFS('Contingency Drawdown'!$E$8:$E$60,'Contingency Drawdown'!$A$8:$A$60,13)</f>
        <v>315</v>
      </c>
      <c r="C42" s="61"/>
      <c r="D42" s="61" t="s">
        <v>182</v>
      </c>
      <c r="E42" s="61" t="s">
        <v>183</v>
      </c>
    </row>
    <row r="43" customFormat="false" ht="15" hidden="false" customHeight="true" outlineLevel="0" collapsed="false">
      <c r="A43" s="61" t="s">
        <v>184</v>
      </c>
      <c r="B43" s="62" t="n">
        <f aca="false">SUMIFS('Contingency Drawdown'!$E$8:$E$60,'Contingency Drawdown'!$A$8:$A$60,23)</f>
        <v>291.17</v>
      </c>
      <c r="C43" s="61"/>
      <c r="D43" s="61" t="s">
        <v>185</v>
      </c>
      <c r="E43" s="61" t="s">
        <v>186</v>
      </c>
    </row>
    <row r="44" customFormat="false" ht="15" hidden="false" customHeight="true" outlineLevel="0" collapsed="false">
      <c r="A44" s="61" t="s">
        <v>160</v>
      </c>
      <c r="B44" s="62" t="n">
        <f aca="false">ROUND((B39+B40+B41-B16)+(B42+B43-B17),2)</f>
        <v>0</v>
      </c>
      <c r="C44" s="61"/>
      <c r="D44" s="61"/>
      <c r="E44" s="61"/>
    </row>
    <row r="46" customFormat="false" ht="15.75" hidden="false" customHeight="true" outlineLevel="0" collapsed="false">
      <c r="A46" s="30" t="s">
        <v>187</v>
      </c>
    </row>
    <row r="47" customFormat="false" ht="15" hidden="false" customHeight="true" outlineLevel="0" collapsed="false">
      <c r="A47" s="65" t="s">
        <v>188</v>
      </c>
      <c r="B47" s="65" t="s">
        <v>111</v>
      </c>
      <c r="C47" s="65"/>
      <c r="D47" s="65"/>
      <c r="E47" s="65" t="s">
        <v>9</v>
      </c>
    </row>
    <row r="48" customFormat="false" ht="15" hidden="false" customHeight="true" outlineLevel="0" collapsed="false">
      <c r="A48" s="61" t="s">
        <v>189</v>
      </c>
      <c r="B48" s="62" t="n">
        <f aca="false">B17+B35</f>
        <v>2198.32</v>
      </c>
      <c r="C48" s="61"/>
      <c r="D48" s="61"/>
      <c r="E48" s="61" t="s">
        <v>190</v>
      </c>
    </row>
    <row r="49" customFormat="false" ht="15" hidden="false" customHeight="true" outlineLevel="0" collapsed="false">
      <c r="A49" s="61" t="s">
        <v>191</v>
      </c>
      <c r="B49" s="62" t="n">
        <f aca="false">SUMIFS('Contingency Drawdown'!$E$8:$E$60,'Contingency Drawdown'!$A$8:$A$60,4)+SUMIFS('Contingency Drawdown'!$H$8:$H$60,'Contingency Drawdown'!$A$8:$A$60,4)</f>
        <v>800</v>
      </c>
      <c r="C49" s="61"/>
      <c r="D49" s="61"/>
      <c r="E49" s="61" t="s">
        <v>192</v>
      </c>
    </row>
    <row r="50" customFormat="false" ht="15" hidden="false" customHeight="true" outlineLevel="0" collapsed="false">
      <c r="A50" s="63" t="s">
        <v>193</v>
      </c>
      <c r="B50" s="64" t="n">
        <f aca="false">B48+B49</f>
        <v>2998.32</v>
      </c>
      <c r="C50" s="63"/>
      <c r="D50" s="63"/>
      <c r="E50" s="63"/>
    </row>
    <row r="51" customFormat="false" ht="15" hidden="false" customHeight="true" outlineLevel="0" collapsed="false">
      <c r="A51" s="61" t="s">
        <v>194</v>
      </c>
      <c r="B51" s="62" t="n">
        <f aca="false">B6</f>
        <v>5000</v>
      </c>
      <c r="C51" s="61"/>
      <c r="D51" s="61"/>
      <c r="E51" s="61"/>
    </row>
    <row r="52" customFormat="false" ht="15" hidden="false" customHeight="true" outlineLevel="0" collapsed="false">
      <c r="A52" s="63" t="s">
        <v>195</v>
      </c>
      <c r="B52" s="64" t="n">
        <f aca="false">B51-B50</f>
        <v>2001.68</v>
      </c>
      <c r="C52" s="63"/>
      <c r="D52" s="63"/>
      <c r="E52" s="63" t="s">
        <v>196</v>
      </c>
    </row>
    <row r="53" customFormat="false" ht="15" hidden="false" customHeight="true" outlineLevel="0" collapsed="false">
      <c r="A53" s="61" t="s">
        <v>197</v>
      </c>
      <c r="B53" s="62" t="n">
        <f aca="false">B7-B48-B49</f>
        <v>13661.65</v>
      </c>
      <c r="C53" s="61"/>
      <c r="D53" s="61"/>
      <c r="E53" s="61" t="s">
        <v>198</v>
      </c>
    </row>
    <row r="55" customFormat="false" ht="15.75" hidden="false" customHeight="true" outlineLevel="0" collapsed="false">
      <c r="A55" s="30" t="s">
        <v>199</v>
      </c>
    </row>
    <row r="56" customFormat="false" ht="15" hidden="false" customHeight="true" outlineLevel="0" collapsed="false">
      <c r="A56" s="65" t="s">
        <v>200</v>
      </c>
      <c r="B56" s="65" t="s">
        <v>201</v>
      </c>
      <c r="C56" s="65" t="s">
        <v>202</v>
      </c>
      <c r="D56" s="65"/>
      <c r="E56" s="65" t="s">
        <v>9</v>
      </c>
    </row>
    <row r="57" customFormat="false" ht="15" hidden="false" customHeight="true" outlineLevel="0" collapsed="false">
      <c r="A57" s="61" t="s">
        <v>203</v>
      </c>
      <c r="B57" s="62" t="n">
        <f aca="false">B7-B26-SUMIFS('Contingency Drawdown'!$E$8:$E$60,'Contingency Drawdown'!$A$8:$A$60,"&gt;=25",'Contingency Drawdown'!$A$8:$A$60,"&lt;=30")-B30-B37-B38-B19-B31-SUMIFS('Contingency Drawdown'!$E$8:$E$60,'Contingency Drawdown'!$A$8:$A$60,37)-SUMIFS('Contingency Drawdown'!$E$8:$E$60,'Contingency Drawdown'!$A$8:$A$60,38)-SUMIFS('Contingency Drawdown'!$E$8:$E$60,'Contingency Drawdown'!$A$8:$A$60,34)</f>
        <v>4313.11</v>
      </c>
      <c r="C57" s="61" t="str">
        <f aca="false">IF(B57&gt;B$6,"Over","Within")</f>
        <v>Within</v>
      </c>
      <c r="D57" s="61"/>
      <c r="E57" s="61" t="s">
        <v>204</v>
      </c>
    </row>
    <row r="58" customFormat="false" ht="27.75" hidden="false" customHeight="true" outlineLevel="0" collapsed="false">
      <c r="A58" s="61" t="s">
        <v>205</v>
      </c>
      <c r="B58" s="62" t="n">
        <f aca="false">SUMIFS('Contingency Drawdown'!$E$8:$E$60,'Contingency Drawdown'!$B$8:$B$60,"&lt;="&amp;DATE(2026,9,11))</f>
        <v>5017.83</v>
      </c>
      <c r="C58" s="61" t="str">
        <f aca="false">IF(B58&gt;B$6,"Over","Within")</f>
        <v>Over</v>
      </c>
      <c r="D58" s="61"/>
      <c r="E58" s="61" t="s">
        <v>206</v>
      </c>
    </row>
    <row r="59" customFormat="false" ht="15" hidden="false" customHeight="true" outlineLevel="0" collapsed="false">
      <c r="A59" s="61" t="s">
        <v>207</v>
      </c>
      <c r="B59" s="62" t="n">
        <f aca="false">B57+B26</f>
        <v>9635.85</v>
      </c>
      <c r="C59" s="61" t="str">
        <f aca="false">IF(B59&gt;B$6,"Over","Within")</f>
        <v>Over</v>
      </c>
      <c r="D59" s="61"/>
      <c r="E59" s="61" t="s">
        <v>208</v>
      </c>
    </row>
    <row r="60" customFormat="false" ht="15" hidden="false" customHeight="true" outlineLevel="0" collapsed="false">
      <c r="A60" s="61" t="s">
        <v>209</v>
      </c>
      <c r="B60" s="62" t="n">
        <f aca="false">B7-B30-B37-B38-B19-B31-SUMIFS('Contingency Drawdown'!$E$8:$E$60,'Contingency Drawdown'!$A$8:$A$60,37)-SUMIFS('Contingency Drawdown'!$E$8:$E$60,'Contingency Drawdown'!$A$8:$A$60,38)-SUMIFS('Contingency Drawdown'!$E$8:$E$60,'Contingency Drawdown'!$A$8:$A$60,34)</f>
        <v>10729.42</v>
      </c>
      <c r="C60" s="61" t="str">
        <f aca="false">IF(B60&gt;B$6,"Over","Within")</f>
        <v>Over</v>
      </c>
      <c r="D60" s="61"/>
      <c r="E60" s="61" t="s">
        <v>210</v>
      </c>
    </row>
    <row r="61" customFormat="false" ht="15" hidden="false" customHeight="true" outlineLevel="0" collapsed="false">
      <c r="A61" s="61" t="s">
        <v>211</v>
      </c>
      <c r="B61" s="62" t="n">
        <f aca="false">B7-B38-B19-B31-SUMIFS('Contingency Drawdown'!$E$8:$E$60,'Contingency Drawdown'!$A$8:$A$60,37)-SUMIFS('Contingency Drawdown'!$E$8:$E$60,'Contingency Drawdown'!$A$8:$A$60,38)-SUMIFS('Contingency Drawdown'!$E$8:$E$60,'Contingency Drawdown'!$A$8:$A$60,34)</f>
        <v>12579.42</v>
      </c>
      <c r="C61" s="61" t="str">
        <f aca="false">IF(B61&gt;B$6,"Over","Within")</f>
        <v>Over</v>
      </c>
      <c r="D61" s="61"/>
      <c r="E61" s="61" t="s">
        <v>212</v>
      </c>
    </row>
    <row r="62" customFormat="false" ht="15" hidden="false" customHeight="true" outlineLevel="0" collapsed="false">
      <c r="A62" s="61" t="s">
        <v>213</v>
      </c>
      <c r="B62" s="62" t="n">
        <f aca="false">B7-B19-B31-SUMIFS('Contingency Drawdown'!$E$8:$E$60,'Contingency Drawdown'!$A$8:$A$60,37)-SUMIFS('Contingency Drawdown'!$E$8:$E$60,'Contingency Drawdown'!$A$8:$A$60,38)-SUMIFS('Contingency Drawdown'!$E$8:$E$60,'Contingency Drawdown'!$A$8:$A$60,34)</f>
        <v>12664.39</v>
      </c>
      <c r="C62" s="61" t="str">
        <f aca="false">IF(B62&gt;B$6,"Over","Within")</f>
        <v>Over</v>
      </c>
      <c r="D62" s="61"/>
      <c r="E62" s="61" t="s">
        <v>214</v>
      </c>
    </row>
    <row r="63" customFormat="false" ht="15" hidden="false" customHeight="true" outlineLevel="0" collapsed="false">
      <c r="A63" s="61" t="s">
        <v>215</v>
      </c>
      <c r="B63" s="62" t="n">
        <f aca="false">B7-SUMIFS('Contingency Drawdown'!$E$8:$E$60,'Contingency Drawdown'!$A$8:$A$60,37)-SUMIFS('Contingency Drawdown'!$E$8:$E$60,'Contingency Drawdown'!$A$8:$A$60,38)-SUMIFS('Contingency Drawdown'!$E$8:$E$60,'Contingency Drawdown'!$A$8:$A$60,34)</f>
        <v>14014.39</v>
      </c>
      <c r="C63" s="61" t="str">
        <f aca="false">IF(B63&gt;B$6,"Over","Within")</f>
        <v>Over</v>
      </c>
      <c r="D63" s="61"/>
      <c r="E63" s="61" t="s">
        <v>216</v>
      </c>
    </row>
    <row r="64" customFormat="false" ht="15" hidden="false" customHeight="true" outlineLevel="0" collapsed="false">
      <c r="A64" s="61" t="s">
        <v>217</v>
      </c>
      <c r="B64" s="62" t="n">
        <f aca="false">B7-SUMIFS('Contingency Drawdown'!$E$8:$E$60,'Contingency Drawdown'!$A$8:$A$60,37)-SUMIFS('Contingency Drawdown'!$E$8:$E$60,'Contingency Drawdown'!$A$8:$A$60,38)</f>
        <v>15214.39</v>
      </c>
      <c r="C64" s="61" t="str">
        <f aca="false">IF(B64&gt;B$6,"Over","Within")</f>
        <v>Over</v>
      </c>
      <c r="D64" s="61"/>
      <c r="E64" s="61" t="s">
        <v>218</v>
      </c>
    </row>
    <row r="65" customFormat="false" ht="15" hidden="false" customHeight="true" outlineLevel="0" collapsed="false">
      <c r="A65" s="61" t="s">
        <v>219</v>
      </c>
      <c r="B65" s="62" t="n">
        <f aca="false">B7-SUMIFS('Contingency Drawdown'!$E$8:$E$60,'Contingency Drawdown'!$A$8:$A$60,38)</f>
        <v>15391.97</v>
      </c>
      <c r="C65" s="61" t="str">
        <f aca="false">IF(B65&gt;B$6,"Over","Within")</f>
        <v>Over</v>
      </c>
      <c r="D65" s="61"/>
      <c r="E65" s="61" t="s">
        <v>220</v>
      </c>
    </row>
    <row r="66" customFormat="false" ht="15" hidden="false" customHeight="true" outlineLevel="0" collapsed="false">
      <c r="A66" s="61" t="s">
        <v>221</v>
      </c>
      <c r="B66" s="62" t="n">
        <f aca="false">B7</f>
        <v>16659.97</v>
      </c>
      <c r="C66" s="61" t="str">
        <f aca="false">IF(B66&gt;B$6,"Over","Within")</f>
        <v>Over</v>
      </c>
      <c r="D66" s="61"/>
      <c r="E66" s="61" t="s">
        <v>222</v>
      </c>
    </row>
    <row r="68" customFormat="false" ht="15.75" hidden="false" customHeight="true" outlineLevel="0" collapsed="false">
      <c r="A68" s="30" t="s">
        <v>223</v>
      </c>
    </row>
    <row r="69" customFormat="false" ht="15" hidden="false" customHeight="true" outlineLevel="0" collapsed="false">
      <c r="A69" s="65" t="s">
        <v>188</v>
      </c>
      <c r="B69" s="65" t="s">
        <v>111</v>
      </c>
      <c r="C69" s="65"/>
      <c r="D69" s="65" t="s">
        <v>224</v>
      </c>
      <c r="E69" s="65" t="s">
        <v>9</v>
      </c>
    </row>
    <row r="70" customFormat="false" ht="15" hidden="false" customHeight="true" outlineLevel="0" collapsed="false">
      <c r="A70" s="61" t="s">
        <v>225</v>
      </c>
      <c r="B70" s="62" t="n">
        <f aca="false">SUMIFS('Contingency Drawdown'!$H$8:$H$60,'Contingency Drawdown'!$A$8:$A$60,4)</f>
        <v>0</v>
      </c>
      <c r="C70" s="61"/>
      <c r="D70" s="61" t="s">
        <v>226</v>
      </c>
      <c r="E70" s="61" t="s">
        <v>227</v>
      </c>
    </row>
    <row r="71" customFormat="false" ht="15" hidden="false" customHeight="true" outlineLevel="0" collapsed="false">
      <c r="A71" s="61" t="s">
        <v>228</v>
      </c>
      <c r="B71" s="62" t="n">
        <f aca="false">SUMIFS('Contingency Drawdown'!$H$8:$H$60,'Contingency Drawdown'!$A$8:$A$60,31)</f>
        <v>200</v>
      </c>
      <c r="C71" s="61"/>
      <c r="D71" s="61" t="s">
        <v>229</v>
      </c>
      <c r="E71" s="61" t="s">
        <v>230</v>
      </c>
    </row>
    <row r="72" customFormat="false" ht="15" hidden="false" customHeight="true" outlineLevel="0" collapsed="false">
      <c r="A72" s="61" t="s">
        <v>231</v>
      </c>
      <c r="B72" s="62" t="n">
        <f aca="false">SUMIFS('Contingency Drawdown'!$H$8:$H$60,'Contingency Drawdown'!$A$8:$A$60,15)</f>
        <v>47.22</v>
      </c>
      <c r="C72" s="61"/>
      <c r="D72" s="61" t="s">
        <v>232</v>
      </c>
      <c r="E72" s="61" t="s">
        <v>233</v>
      </c>
    </row>
    <row r="73" customFormat="false" ht="15" hidden="false" customHeight="true" outlineLevel="0" collapsed="false">
      <c r="A73" s="61" t="s">
        <v>234</v>
      </c>
      <c r="B73" s="62" t="n">
        <f aca="false">SUMIFS('Contingency Drawdown'!$H$8:$H$60,'Contingency Drawdown'!$A$8:$A$60,34)</f>
        <v>0</v>
      </c>
      <c r="C73" s="61"/>
      <c r="D73" s="61" t="s">
        <v>235</v>
      </c>
      <c r="E73" s="61" t="s">
        <v>236</v>
      </c>
    </row>
    <row r="74" customFormat="false" ht="15" hidden="false" customHeight="true" outlineLevel="0" collapsed="false">
      <c r="A74" s="63" t="s">
        <v>237</v>
      </c>
      <c r="B74" s="64" t="n">
        <f aca="false">SUM(B70:B73)</f>
        <v>247.22</v>
      </c>
      <c r="C74" s="63"/>
      <c r="D74" s="63"/>
      <c r="E74" s="63"/>
    </row>
    <row r="75" customFormat="false" ht="27.75" hidden="false" customHeight="true" outlineLevel="0" collapsed="false">
      <c r="A75" s="61" t="s">
        <v>238</v>
      </c>
      <c r="B75" s="62" t="n">
        <f aca="false">3.5*700-B31</f>
        <v>1450</v>
      </c>
      <c r="C75" s="61"/>
      <c r="D75" s="61" t="s">
        <v>239</v>
      </c>
      <c r="E75" s="61" t="s">
        <v>240</v>
      </c>
    </row>
    <row r="76" customFormat="false" ht="15" hidden="false" customHeight="true" outlineLevel="0" collapsed="false">
      <c r="A76" s="61" t="s">
        <v>241</v>
      </c>
      <c r="B76" s="62" t="n">
        <f aca="false">4.5*700-B31</f>
        <v>2150</v>
      </c>
      <c r="C76" s="61"/>
      <c r="D76" s="61" t="s">
        <v>239</v>
      </c>
      <c r="E76" s="61" t="s">
        <v>242</v>
      </c>
    </row>
    <row r="77" customFormat="false" ht="15" hidden="false" customHeight="true" outlineLevel="0" collapsed="false">
      <c r="A77" s="63" t="s">
        <v>243</v>
      </c>
      <c r="B77" s="64" t="n">
        <f aca="false">B7+B74+B75</f>
        <v>18357.19</v>
      </c>
      <c r="C77" s="63"/>
      <c r="D77" s="63"/>
      <c r="E77" s="63" t="s">
        <v>244</v>
      </c>
    </row>
    <row r="78" customFormat="false" ht="15" hidden="false" customHeight="true" outlineLevel="0" collapsed="false">
      <c r="A78" s="63" t="s">
        <v>245</v>
      </c>
      <c r="B78" s="64" t="n">
        <f aca="false">B7+B74+B76</f>
        <v>19057.19</v>
      </c>
      <c r="C78" s="63"/>
      <c r="D78" s="63"/>
      <c r="E78" s="63"/>
    </row>
    <row r="80" customFormat="false" ht="15.75" hidden="false" customHeight="true" outlineLevel="0" collapsed="false">
      <c r="A80" s="30" t="s">
        <v>246</v>
      </c>
    </row>
    <row r="81" customFormat="false" ht="15" hidden="false" customHeight="true" outlineLevel="0" collapsed="false">
      <c r="A81" s="65" t="s">
        <v>188</v>
      </c>
      <c r="B81" s="65" t="s">
        <v>111</v>
      </c>
      <c r="C81" s="65"/>
      <c r="D81" s="65" t="s">
        <v>247</v>
      </c>
      <c r="E81" s="65" t="s">
        <v>9</v>
      </c>
    </row>
    <row r="82" customFormat="false" ht="15" hidden="false" customHeight="true" outlineLevel="0" collapsed="false">
      <c r="A82" s="61" t="s">
        <v>248</v>
      </c>
      <c r="B82" s="62" t="n">
        <f aca="false">B14+B17</f>
        <v>10977.97</v>
      </c>
      <c r="C82" s="61"/>
      <c r="D82" s="61" t="s">
        <v>16</v>
      </c>
      <c r="E82" s="61" t="s">
        <v>249</v>
      </c>
    </row>
    <row r="83" customFormat="false" ht="27.75" hidden="false" customHeight="true" outlineLevel="0" collapsed="false">
      <c r="A83" s="61" t="s">
        <v>250</v>
      </c>
      <c r="B83" s="62" t="n">
        <f aca="false">Summary!C12</f>
        <v>2100</v>
      </c>
      <c r="C83" s="61"/>
      <c r="D83" s="61" t="s">
        <v>251</v>
      </c>
      <c r="E83" s="61" t="s">
        <v>252</v>
      </c>
    </row>
    <row r="84" customFormat="false" ht="15" hidden="false" customHeight="true" outlineLevel="0" collapsed="false">
      <c r="A84" s="61" t="s">
        <v>253</v>
      </c>
      <c r="B84" s="62" t="n">
        <f aca="false">Summary!D12</f>
        <v>1984.93</v>
      </c>
      <c r="C84" s="61"/>
      <c r="D84" s="61" t="s">
        <v>254</v>
      </c>
      <c r="E84" s="61" t="s">
        <v>255</v>
      </c>
    </row>
    <row r="85" customFormat="false" ht="48" hidden="false" customHeight="true" outlineLevel="0" collapsed="false">
      <c r="A85" s="68" t="s">
        <v>256</v>
      </c>
      <c r="B85" s="68"/>
      <c r="C85" s="68"/>
      <c r="D85" s="68"/>
      <c r="E85" s="68"/>
    </row>
  </sheetData>
  <mergeCells count="2">
    <mergeCell ref="A3:E3"/>
    <mergeCell ref="A85:E8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59E0B"/>
    <pageSetUpPr fitToPage="false"/>
  </sheetPr>
  <dimension ref="A1:L4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7" topLeftCell="D8" activePane="bottomRight" state="frozen"/>
      <selection pane="topLeft" activeCell="A1" activeCellId="0" sqref="A1"/>
      <selection pane="topRight" activeCell="D1" activeCellId="0" sqref="D1"/>
      <selection pane="bottomLeft" activeCell="A8" activeCellId="0" sqref="A8"/>
      <selection pane="bottomRight" activeCell="A1" activeCellId="0" sqref="A1"/>
    </sheetView>
  </sheetViews>
  <sheetFormatPr defaultColWidth="8.6796875" defaultRowHeight="15" zeroHeight="false" outlineLevelRow="0" outlineLevelCol="0"/>
  <cols>
    <col collapsed="false" customWidth="true" hidden="false" outlineLevel="0" max="2" min="1" style="1" width="13"/>
    <col collapsed="false" customWidth="true" hidden="false" outlineLevel="0" max="3" min="3" style="1" width="44"/>
    <col collapsed="false" customWidth="true" hidden="false" outlineLevel="0" max="4" min="4" style="1" width="38"/>
    <col collapsed="false" customWidth="true" hidden="false" outlineLevel="0" max="7" min="5" style="1" width="13"/>
    <col collapsed="false" customWidth="true" hidden="false" outlineLevel="0" max="8" min="8" style="1" width="17"/>
    <col collapsed="false" customWidth="true" hidden="false" outlineLevel="0" max="9" min="9" style="1" width="20"/>
    <col collapsed="false" customWidth="true" hidden="false" outlineLevel="0" max="10" min="10" style="1" width="28"/>
    <col collapsed="false" customWidth="true" hidden="false" outlineLevel="0" max="11" min="11" style="1" width="20"/>
    <col collapsed="false" customWidth="true" hidden="false" outlineLevel="0" max="12" min="12" style="1" width="78"/>
  </cols>
  <sheetData>
    <row r="1" customFormat="false" ht="19.5" hidden="false" customHeight="true" outlineLevel="0" collapsed="false">
      <c r="A1" s="2" t="s">
        <v>257</v>
      </c>
    </row>
    <row r="2" customFormat="false" ht="31.5" hidden="false" customHeight="true" outlineLevel="0" collapsed="false">
      <c r="A2" s="69" t="s">
        <v>258</v>
      </c>
      <c r="B2" s="69"/>
      <c r="C2" s="69"/>
      <c r="D2" s="69"/>
      <c r="E2" s="69"/>
      <c r="F2" s="69"/>
      <c r="G2" s="69"/>
      <c r="H2" s="69"/>
      <c r="I2" s="69"/>
      <c r="J2" s="69"/>
      <c r="K2" s="69"/>
      <c r="L2" s="69"/>
    </row>
    <row r="4" customFormat="false" ht="15.75" hidden="false" customHeight="true" outlineLevel="0" collapsed="false">
      <c r="A4" s="3" t="s">
        <v>259</v>
      </c>
      <c r="B4" s="70" t="n">
        <v>5000</v>
      </c>
      <c r="C4" s="3" t="s">
        <v>260</v>
      </c>
      <c r="D4" s="71" t="n">
        <f aca="false">B4-SUM($E$8:$E$60)</f>
        <v>-11659.97</v>
      </c>
    </row>
    <row r="5" customFormat="false" ht="15" hidden="false" customHeight="true" outlineLevel="0" collapsed="false">
      <c r="A5" s="3" t="s">
        <v>261</v>
      </c>
      <c r="B5" s="70" t="n">
        <f aca="false">SUM($E$8:$E$60)</f>
        <v>16659.97</v>
      </c>
      <c r="C5" s="3" t="s">
        <v>262</v>
      </c>
      <c r="D5" s="70" t="n">
        <f aca="false">SUM($F$8:$F$60)</f>
        <v>16659.97</v>
      </c>
      <c r="E5" s="3" t="s">
        <v>263</v>
      </c>
      <c r="F5" s="70" t="n">
        <f aca="false">SUM($H$8:$H$60)</f>
        <v>247.22</v>
      </c>
    </row>
    <row r="6" customFormat="false" ht="15" hidden="false" customHeight="true" outlineLevel="0" collapsed="false">
      <c r="C6" s="3" t="s">
        <v>264</v>
      </c>
      <c r="D6" s="70" t="n">
        <f aca="false">ROUND(SUM($E$8:$E$60)-SUMIF('Invoice Register'!$B:$B,"Contingency",'Invoice Register'!$F:$F),2)</f>
        <v>0</v>
      </c>
    </row>
    <row r="7" customFormat="false" ht="43.5" hidden="false" customHeight="true" outlineLevel="0" collapsed="false">
      <c r="A7" s="65" t="s">
        <v>265</v>
      </c>
      <c r="B7" s="65" t="s">
        <v>266</v>
      </c>
      <c r="C7" s="65" t="s">
        <v>267</v>
      </c>
      <c r="D7" s="65" t="s">
        <v>268</v>
      </c>
      <c r="E7" s="65" t="s">
        <v>269</v>
      </c>
      <c r="F7" s="65" t="s">
        <v>7</v>
      </c>
      <c r="G7" s="65" t="s">
        <v>270</v>
      </c>
      <c r="H7" s="65" t="s">
        <v>271</v>
      </c>
      <c r="I7" s="65" t="s">
        <v>224</v>
      </c>
      <c r="J7" s="65" t="s">
        <v>272</v>
      </c>
      <c r="K7" s="65" t="s">
        <v>273</v>
      </c>
      <c r="L7" s="65" t="s">
        <v>9</v>
      </c>
    </row>
    <row r="8" customFormat="false" ht="15" hidden="false" customHeight="true" outlineLevel="0" collapsed="false">
      <c r="A8" s="72" t="n">
        <v>1</v>
      </c>
      <c r="B8" s="73"/>
      <c r="C8" s="74" t="s">
        <v>274</v>
      </c>
      <c r="D8" s="74" t="s">
        <v>275</v>
      </c>
      <c r="E8" s="75" t="n">
        <f aca="false">IF($A8="","",SUMIFS('Invoice Register'!$F:$F,'Invoice Register'!$B:$B,"Contingency",'Invoice Register'!$L:$L,$A8))</f>
        <v>0</v>
      </c>
      <c r="F8" s="75" t="n">
        <f aca="false">IF($A8="","",SUMIFS('Invoice Register'!$F:$F,'Invoice Register'!$B:$B,"Contingency",'Invoice Register'!$L:$L,$A8,'Invoice Register'!$G:$G,"&lt;&gt;"))</f>
        <v>0</v>
      </c>
      <c r="G8" s="75" t="n">
        <f aca="false">IF($A8="","",E8-F8)</f>
        <v>0</v>
      </c>
      <c r="H8" s="75" t="n">
        <f aca="false">IF($A8="","",IF(E8&gt;0,0,SUMIF('Cost Lines'!$C:$C,"*purpose #"&amp;$A8&amp;" *",'Cost Lines'!$F:$F)))</f>
        <v>0</v>
      </c>
      <c r="I8" s="76" t="s">
        <v>276</v>
      </c>
      <c r="J8" s="74" t="s">
        <v>124</v>
      </c>
      <c r="K8" s="75" t="str">
        <f aca="false">IF(OR($A8="",$B8=""),"",$B$4-SUMIFS($E$8:$E$60,$B$8:$B$60,"&lt;="&amp;$B8))</f>
        <v/>
      </c>
      <c r="L8" s="74" t="s">
        <v>277</v>
      </c>
    </row>
    <row r="9" customFormat="false" ht="15" hidden="false" customHeight="true" outlineLevel="0" collapsed="false">
      <c r="A9" s="72" t="n">
        <v>2</v>
      </c>
      <c r="B9" s="73"/>
      <c r="C9" s="74" t="s">
        <v>278</v>
      </c>
      <c r="D9" s="74" t="s">
        <v>17</v>
      </c>
      <c r="E9" s="75" t="n">
        <f aca="false">IF($A9="","",SUMIFS('Invoice Register'!$F:$F,'Invoice Register'!$B:$B,"Contingency",'Invoice Register'!$L:$L,$A9))</f>
        <v>0</v>
      </c>
      <c r="F9" s="75" t="n">
        <f aca="false">IF($A9="","",SUMIFS('Invoice Register'!$F:$F,'Invoice Register'!$B:$B,"Contingency",'Invoice Register'!$L:$L,$A9,'Invoice Register'!$G:$G,"&lt;&gt;"))</f>
        <v>0</v>
      </c>
      <c r="G9" s="75" t="n">
        <f aca="false">IF($A9="","",E9-F9)</f>
        <v>0</v>
      </c>
      <c r="H9" s="75" t="n">
        <f aca="false">IF($A9="","",IF(E9&gt;0,0,SUMIF('Cost Lines'!$C:$C,"*purpose #"&amp;$A9&amp;" *",'Cost Lines'!$F:$F)))</f>
        <v>0</v>
      </c>
      <c r="I9" s="76" t="s">
        <v>279</v>
      </c>
      <c r="J9" s="74"/>
      <c r="K9" s="75" t="str">
        <f aca="false">IF(OR($A9="",$B9=""),"",$B$4-SUMIFS($E$8:$E$60,$B$8:$B$60,"&lt;="&amp;$B9))</f>
        <v/>
      </c>
      <c r="L9" s="74" t="s">
        <v>280</v>
      </c>
    </row>
    <row r="10" customFormat="false" ht="15" hidden="false" customHeight="true" outlineLevel="0" collapsed="false">
      <c r="A10" s="72" t="n">
        <v>3</v>
      </c>
      <c r="B10" s="73"/>
      <c r="C10" s="74" t="s">
        <v>281</v>
      </c>
      <c r="D10" s="74" t="s">
        <v>17</v>
      </c>
      <c r="E10" s="75" t="n">
        <f aca="false">IF($A10="","",SUMIFS('Invoice Register'!$F:$F,'Invoice Register'!$B:$B,"Contingency",'Invoice Register'!$L:$L,$A10))</f>
        <v>0</v>
      </c>
      <c r="F10" s="75" t="n">
        <f aca="false">IF($A10="","",SUMIFS('Invoice Register'!$F:$F,'Invoice Register'!$B:$B,"Contingency",'Invoice Register'!$L:$L,$A10,'Invoice Register'!$G:$G,"&lt;&gt;"))</f>
        <v>0</v>
      </c>
      <c r="G10" s="75" t="n">
        <f aca="false">IF($A10="","",E10-F10)</f>
        <v>0</v>
      </c>
      <c r="H10" s="75" t="n">
        <f aca="false">IF($A10="","",IF(E10&gt;0,0,SUMIF('Cost Lines'!$C:$C,"*purpose #"&amp;$A10&amp;" *",'Cost Lines'!$F:$F)))</f>
        <v>0</v>
      </c>
      <c r="I10" s="76" t="s">
        <v>282</v>
      </c>
      <c r="J10" s="74"/>
      <c r="K10" s="75" t="str">
        <f aca="false">IF(OR($A10="",$B10=""),"",$B$4-SUMIFS($E$8:$E$60,$B$8:$B$60,"&lt;="&amp;$B10))</f>
        <v/>
      </c>
      <c r="L10" s="74" t="s">
        <v>283</v>
      </c>
    </row>
    <row r="11" customFormat="false" ht="27.75" hidden="false" customHeight="true" outlineLevel="0" collapsed="false">
      <c r="A11" s="72" t="n">
        <v>4</v>
      </c>
      <c r="B11" s="73" t="n">
        <v>46304</v>
      </c>
      <c r="C11" s="74" t="s">
        <v>284</v>
      </c>
      <c r="D11" s="74" t="s">
        <v>275</v>
      </c>
      <c r="E11" s="75" t="n">
        <f aca="false">IF($A11="","",SUMIFS('Invoice Register'!$F:$F,'Invoice Register'!$B:$B,"Contingency",'Invoice Register'!$L:$L,$A11))</f>
        <v>800</v>
      </c>
      <c r="F11" s="75" t="n">
        <f aca="false">IF($A11="","",SUMIFS('Invoice Register'!$F:$F,'Invoice Register'!$B:$B,"Contingency",'Invoice Register'!$L:$L,$A11,'Invoice Register'!$G:$G,"&lt;&gt;"))</f>
        <v>800</v>
      </c>
      <c r="G11" s="75" t="n">
        <f aca="false">IF($A11="","",E11-F11)</f>
        <v>0</v>
      </c>
      <c r="H11" s="75" t="n">
        <f aca="false">IF($A11="","",IF(E11&gt;0,0,SUMIF('Cost Lines'!$C:$C,"*purpose #"&amp;$A11&amp;" *",'Cost Lines'!$F:$F)))</f>
        <v>0</v>
      </c>
      <c r="I11" s="76" t="str">
        <f aca="false">IF(E11&gt;0,IF(F11&gt;=E11-0.005,"Paid",IF(F11&gt;0,"Part paid","Invoiced, unpaid")),IF(H11&gt;0,"Not yet invoiced",""))</f>
        <v>Paid</v>
      </c>
      <c r="J11" s="74" t="s">
        <v>285</v>
      </c>
      <c r="K11" s="75" t="n">
        <f aca="false">IF(OR($A11="",$B11=""),"",$B$4-SUMIFS($E$8:$E$60,$B$8:$B$60,"&lt;="&amp;$B11))</f>
        <v>-7664.39</v>
      </c>
      <c r="L11" s="74" t="s">
        <v>286</v>
      </c>
    </row>
    <row r="12" customFormat="false" ht="27.75" hidden="false" customHeight="true" outlineLevel="0" collapsed="false">
      <c r="A12" s="72" t="n">
        <v>5</v>
      </c>
      <c r="B12" s="73"/>
      <c r="C12" s="74" t="s">
        <v>287</v>
      </c>
      <c r="D12" s="74" t="s">
        <v>17</v>
      </c>
      <c r="E12" s="75" t="n">
        <f aca="false">IF($A12="","",SUMIFS('Invoice Register'!$F:$F,'Invoice Register'!$B:$B,"Contingency",'Invoice Register'!$L:$L,$A12))</f>
        <v>0</v>
      </c>
      <c r="F12" s="75" t="n">
        <f aca="false">IF($A12="","",SUMIFS('Invoice Register'!$F:$F,'Invoice Register'!$B:$B,"Contingency",'Invoice Register'!$L:$L,$A12,'Invoice Register'!$G:$G,"&lt;&gt;"))</f>
        <v>0</v>
      </c>
      <c r="G12" s="75" t="n">
        <f aca="false">IF($A12="","",E12-F12)</f>
        <v>0</v>
      </c>
      <c r="H12" s="75" t="n">
        <f aca="false">IF($A12="","",IF(E12&gt;0,0,SUMIF('Cost Lines'!$C:$C,"*purpose #"&amp;$A12&amp;" *",'Cost Lines'!$F:$F)))</f>
        <v>0</v>
      </c>
      <c r="I12" s="76" t="s">
        <v>288</v>
      </c>
      <c r="J12" s="74"/>
      <c r="K12" s="75" t="str">
        <f aca="false">IF(OR($A12="",$B12=""),"",$B$4-SUMIFS($E$8:$E$60,$B$8:$B$60,"&lt;="&amp;$B12))</f>
        <v/>
      </c>
      <c r="L12" s="74" t="s">
        <v>289</v>
      </c>
    </row>
    <row r="13" customFormat="false" ht="41.25" hidden="false" customHeight="true" outlineLevel="0" collapsed="false">
      <c r="A13" s="72" t="n">
        <v>6</v>
      </c>
      <c r="B13" s="73" t="n">
        <v>46247</v>
      </c>
      <c r="C13" s="74" t="s">
        <v>290</v>
      </c>
      <c r="D13" s="74" t="s">
        <v>291</v>
      </c>
      <c r="E13" s="75" t="n">
        <f aca="false">IF($A13="","",SUMIFS('Invoice Register'!$F:$F,'Invoice Register'!$B:$B,"Contingency",'Invoice Register'!$L:$L,$A13))</f>
        <v>276.42</v>
      </c>
      <c r="F13" s="75" t="n">
        <f aca="false">IF($A13="","",SUMIFS('Invoice Register'!$F:$F,'Invoice Register'!$B:$B,"Contingency",'Invoice Register'!$L:$L,$A13,'Invoice Register'!$G:$G,"&lt;&gt;"))</f>
        <v>276.42</v>
      </c>
      <c r="G13" s="75" t="n">
        <f aca="false">IF($A13="","",E13-F13)</f>
        <v>0</v>
      </c>
      <c r="H13" s="75" t="n">
        <f aca="false">IF($A13="","",IF(E13&gt;0,0,SUMIF('Cost Lines'!$C:$C,"*purpose #"&amp;$A13&amp;" *",'Cost Lines'!$F:$F)))</f>
        <v>0</v>
      </c>
      <c r="I13" s="76" t="str">
        <f aca="false">IF(E13&gt;0,IF(F13&gt;=E13-0.005,"Paid",IF(F13&gt;0,"Part paid","Invoiced, unpaid")),IF(H13&gt;0,"Not yet invoiced",""))</f>
        <v>Paid</v>
      </c>
      <c r="J13" s="74" t="s">
        <v>292</v>
      </c>
      <c r="K13" s="75" t="n">
        <f aca="false">IF(OR($A13="",$B13=""),"",$B$4-SUMIFS($E$8:$E$60,$B$8:$B$60,"&lt;="&amp;$B13))</f>
        <v>4552.54</v>
      </c>
      <c r="L13" s="74" t="s">
        <v>293</v>
      </c>
    </row>
    <row r="14" customFormat="false" ht="15" hidden="false" customHeight="true" outlineLevel="0" collapsed="false">
      <c r="A14" s="72" t="n">
        <v>7</v>
      </c>
      <c r="B14" s="73" t="n">
        <v>46244</v>
      </c>
      <c r="C14" s="74" t="s">
        <v>294</v>
      </c>
      <c r="D14" s="74" t="s">
        <v>295</v>
      </c>
      <c r="E14" s="75" t="n">
        <f aca="false">IF($A14="","",SUMIFS('Invoice Register'!$F:$F,'Invoice Register'!$B:$B,"Contingency",'Invoice Register'!$L:$L,$A14))</f>
        <v>62.9</v>
      </c>
      <c r="F14" s="75" t="n">
        <f aca="false">IF($A14="","",SUMIFS('Invoice Register'!$F:$F,'Invoice Register'!$B:$B,"Contingency",'Invoice Register'!$L:$L,$A14,'Invoice Register'!$G:$G,"&lt;&gt;"))</f>
        <v>62.9</v>
      </c>
      <c r="G14" s="75" t="n">
        <f aca="false">IF($A14="","",E14-F14)</f>
        <v>0</v>
      </c>
      <c r="H14" s="75" t="n">
        <f aca="false">IF($A14="","",IF(E14&gt;0,0,SUMIF('Cost Lines'!$C:$C,"*purpose #"&amp;$A14&amp;" *",'Cost Lines'!$F:$F)))</f>
        <v>0</v>
      </c>
      <c r="I14" s="76" t="str">
        <f aca="false">IF(E14&gt;0,IF(F14&gt;=E14-0.005,"Paid",IF(F14&gt;0,"Part paid","Invoiced, unpaid")),IF(H14&gt;0,"Not yet invoiced",""))</f>
        <v>Paid</v>
      </c>
      <c r="J14" s="74" t="s">
        <v>292</v>
      </c>
      <c r="K14" s="75" t="n">
        <f aca="false">IF(OR($A14="",$B14=""),"",$B$4-SUMIFS($E$8:$E$60,$B$8:$B$60,"&lt;="&amp;$B14))</f>
        <v>4937.1</v>
      </c>
      <c r="L14" s="74"/>
    </row>
    <row r="15" customFormat="false" ht="15" hidden="false" customHeight="true" outlineLevel="0" collapsed="false">
      <c r="A15" s="72" t="n">
        <v>8</v>
      </c>
      <c r="B15" s="73" t="n">
        <v>46258</v>
      </c>
      <c r="C15" s="74" t="s">
        <v>296</v>
      </c>
      <c r="D15" s="74" t="s">
        <v>297</v>
      </c>
      <c r="E15" s="75" t="n">
        <f aca="false">IF($A15="","",SUMIFS('Invoice Register'!$F:$F,'Invoice Register'!$B:$B,"Contingency",'Invoice Register'!$L:$L,$A15))</f>
        <v>141.66</v>
      </c>
      <c r="F15" s="75" t="n">
        <f aca="false">IF($A15="","",SUMIFS('Invoice Register'!$F:$F,'Invoice Register'!$B:$B,"Contingency",'Invoice Register'!$L:$L,$A15,'Invoice Register'!$G:$G,"&lt;&gt;"))</f>
        <v>141.66</v>
      </c>
      <c r="G15" s="75" t="n">
        <f aca="false">IF($A15="","",E15-F15)</f>
        <v>0</v>
      </c>
      <c r="H15" s="75" t="n">
        <f aca="false">IF($A15="","",IF(E15&gt;0,0,SUMIF('Cost Lines'!$C:$C,"*purpose #"&amp;$A15&amp;" *",'Cost Lines'!$F:$F)))</f>
        <v>0</v>
      </c>
      <c r="I15" s="76" t="str">
        <f aca="false">IF(E15&gt;0,IF(F15&gt;=E15-0.005,"Paid",IF(F15&gt;0,"Part paid","Invoiced, unpaid")),IF(H15&gt;0,"Not yet invoiced",""))</f>
        <v>Paid</v>
      </c>
      <c r="J15" s="74" t="s">
        <v>285</v>
      </c>
      <c r="K15" s="75" t="n">
        <f aca="false">IF(OR($A15="",$B15=""),"",$B$4-SUMIFS($E$8:$E$60,$B$8:$B$60,"&lt;="&amp;$B15))</f>
        <v>3359.68</v>
      </c>
      <c r="L15" s="74" t="s">
        <v>298</v>
      </c>
    </row>
    <row r="16" customFormat="false" ht="15" hidden="false" customHeight="true" outlineLevel="0" collapsed="false">
      <c r="A16" s="72" t="n">
        <v>9</v>
      </c>
      <c r="B16" s="73" t="n">
        <v>46275</v>
      </c>
      <c r="C16" s="74" t="s">
        <v>299</v>
      </c>
      <c r="D16" s="74" t="s">
        <v>300</v>
      </c>
      <c r="E16" s="75" t="n">
        <f aca="false">IF($A16="","",SUMIFS('Invoice Register'!$F:$F,'Invoice Register'!$B:$B,"Contingency",'Invoice Register'!$L:$L,$A16))</f>
        <v>141.66</v>
      </c>
      <c r="F16" s="75" t="n">
        <f aca="false">IF($A16="","",SUMIFS('Invoice Register'!$F:$F,'Invoice Register'!$B:$B,"Contingency",'Invoice Register'!$L:$L,$A16,'Invoice Register'!$G:$G,"&lt;&gt;"))</f>
        <v>141.66</v>
      </c>
      <c r="G16" s="75" t="n">
        <f aca="false">IF($A16="","",E16-F16)</f>
        <v>0</v>
      </c>
      <c r="H16" s="75" t="n">
        <f aca="false">IF($A16="","",IF(E16&gt;0,0,SUMIF('Cost Lines'!$C:$C,"*purpose #"&amp;$A16&amp;" *",'Cost Lines'!$F:$F)))</f>
        <v>0</v>
      </c>
      <c r="I16" s="76" t="str">
        <f aca="false">IF(E16&gt;0,IF(F16&gt;=E16-0.005,"Paid",IF(F16&gt;0,"Part paid","Invoiced, unpaid")),IF(H16&gt;0,"Not yet invoiced",""))</f>
        <v>Paid</v>
      </c>
      <c r="J16" s="74" t="s">
        <v>285</v>
      </c>
      <c r="K16" s="75" t="n">
        <f aca="false">IF(OR($A16="",$B16=""),"",$B$4-SUMIFS($E$8:$E$60,$B$8:$B$60,"&lt;="&amp;$B16))</f>
        <v>2406.63</v>
      </c>
      <c r="L16" s="74" t="s">
        <v>301</v>
      </c>
    </row>
    <row r="17" customFormat="false" ht="27.75" hidden="false" customHeight="true" outlineLevel="0" collapsed="false">
      <c r="A17" s="72" t="n">
        <v>10</v>
      </c>
      <c r="B17" s="73" t="n">
        <v>46274</v>
      </c>
      <c r="C17" s="74" t="s">
        <v>173</v>
      </c>
      <c r="D17" s="74" t="s">
        <v>302</v>
      </c>
      <c r="E17" s="75" t="n">
        <f aca="false">IF($A17="","",SUMIFS('Invoice Register'!$F:$F,'Invoice Register'!$B:$B,"Contingency",'Invoice Register'!$L:$L,$A17))</f>
        <v>378.58</v>
      </c>
      <c r="F17" s="75" t="n">
        <f aca="false">IF($A17="","",SUMIFS('Invoice Register'!$F:$F,'Invoice Register'!$B:$B,"Contingency",'Invoice Register'!$L:$L,$A17,'Invoice Register'!$G:$G,"&lt;&gt;"))</f>
        <v>378.58</v>
      </c>
      <c r="G17" s="75" t="n">
        <f aca="false">IF($A17="","",E17-F17)</f>
        <v>0</v>
      </c>
      <c r="H17" s="75" t="n">
        <f aca="false">IF($A17="","",IF(E17&gt;0,0,SUMIF('Cost Lines'!$C:$C,"*purpose #"&amp;$A17&amp;" *",'Cost Lines'!$F:$F)))</f>
        <v>0</v>
      </c>
      <c r="I17" s="76" t="str">
        <f aca="false">IF(E17&gt;0,IF(F17&gt;=E17-0.005,"Paid",IF(F17&gt;0,"Part paid","Invoiced, unpaid")),IF(H17&gt;0,"Not yet invoiced",""))</f>
        <v>Paid</v>
      </c>
      <c r="J17" s="74" t="s">
        <v>303</v>
      </c>
      <c r="K17" s="75" t="n">
        <f aca="false">IF(OR($A17="",$B17=""),"",$B$4-SUMIFS($E$8:$E$60,$B$8:$B$60,"&lt;="&amp;$B17))</f>
        <v>2673.02</v>
      </c>
      <c r="L17" s="74" t="s">
        <v>304</v>
      </c>
    </row>
    <row r="18" customFormat="false" ht="27.75" hidden="false" customHeight="true" outlineLevel="0" collapsed="false">
      <c r="A18" s="72" t="n">
        <v>11</v>
      </c>
      <c r="B18" s="73" t="n">
        <v>46276</v>
      </c>
      <c r="C18" s="74" t="s">
        <v>142</v>
      </c>
      <c r="D18" s="74" t="s">
        <v>305</v>
      </c>
      <c r="E18" s="75" t="n">
        <f aca="false">IF($A18="","",SUMIFS('Invoice Register'!$F:$F,'Invoice Register'!$B:$B,"Contingency",'Invoice Register'!$L:$L,$A18))</f>
        <v>1260</v>
      </c>
      <c r="F18" s="75" t="n">
        <f aca="false">IF($A18="","",SUMIFS('Invoice Register'!$F:$F,'Invoice Register'!$B:$B,"Contingency",'Invoice Register'!$L:$L,$A18,'Invoice Register'!$G:$G,"&lt;&gt;"))</f>
        <v>1260</v>
      </c>
      <c r="G18" s="75" t="n">
        <f aca="false">IF($A18="","",E18-F18)</f>
        <v>0</v>
      </c>
      <c r="H18" s="75" t="n">
        <f aca="false">IF($A18="","",IF(E18&gt;0,0,SUMIF('Cost Lines'!$C:$C,"*purpose #"&amp;$A18&amp;" *",'Cost Lines'!$F:$F)))</f>
        <v>0</v>
      </c>
      <c r="I18" s="76" t="str">
        <f aca="false">IF(E18&gt;0,IF(F18&gt;=E18-0.005,"Paid",IF(F18&gt;0,"Part paid","Invoiced, unpaid")),IF(H18&gt;0,"Not yet invoiced",""))</f>
        <v>Paid</v>
      </c>
      <c r="J18" s="74" t="s">
        <v>115</v>
      </c>
      <c r="K18" s="75" t="n">
        <f aca="false">IF(OR($A18="",$B18=""),"",$B$4-SUMIFS($E$8:$E$60,$B$8:$B$60,"&lt;="&amp;$B18))</f>
        <v>-17.8299999999999</v>
      </c>
      <c r="L18" s="74" t="s">
        <v>306</v>
      </c>
    </row>
    <row r="19" customFormat="false" ht="27.75" hidden="false" customHeight="true" outlineLevel="0" collapsed="false">
      <c r="A19" s="72" t="n">
        <v>12</v>
      </c>
      <c r="B19" s="73" t="n">
        <v>46276</v>
      </c>
      <c r="C19" s="74" t="s">
        <v>179</v>
      </c>
      <c r="D19" s="74" t="s">
        <v>305</v>
      </c>
      <c r="E19" s="75" t="n">
        <f aca="false">IF($A19="","",SUMIFS('Invoice Register'!$F:$F,'Invoice Register'!$B:$B,"Contingency",'Invoice Register'!$L:$L,$A19))</f>
        <v>180</v>
      </c>
      <c r="F19" s="75" t="n">
        <f aca="false">IF($A19="","",SUMIFS('Invoice Register'!$F:$F,'Invoice Register'!$B:$B,"Contingency",'Invoice Register'!$L:$L,$A19,'Invoice Register'!$G:$G,"&lt;&gt;"))</f>
        <v>180</v>
      </c>
      <c r="G19" s="75" t="n">
        <f aca="false">IF($A19="","",E19-F19)</f>
        <v>0</v>
      </c>
      <c r="H19" s="75" t="n">
        <f aca="false">IF($A19="","",IF(E19&gt;0,0,SUMIF('Cost Lines'!$C:$C,"*purpose #"&amp;$A19&amp;" *",'Cost Lines'!$F:$F)))</f>
        <v>0</v>
      </c>
      <c r="I19" s="76" t="str">
        <f aca="false">IF(E19&gt;0,IF(F19&gt;=E19-0.005,"Paid",IF(F19&gt;0,"Part paid","Invoiced, unpaid")),IF(H19&gt;0,"Not yet invoiced",""))</f>
        <v>Paid</v>
      </c>
      <c r="J19" s="74" t="s">
        <v>303</v>
      </c>
      <c r="K19" s="75" t="n">
        <f aca="false">IF(OR($A19="",$B19=""),"",$B$4-SUMIFS($E$8:$E$60,$B$8:$B$60,"&lt;="&amp;$B19))</f>
        <v>-17.8299999999999</v>
      </c>
      <c r="L19" s="74" t="s">
        <v>307</v>
      </c>
    </row>
    <row r="20" customFormat="false" ht="27.75" hidden="false" customHeight="true" outlineLevel="0" collapsed="false">
      <c r="A20" s="72" t="n">
        <v>13</v>
      </c>
      <c r="B20" s="73" t="n">
        <v>46276</v>
      </c>
      <c r="C20" s="74" t="s">
        <v>308</v>
      </c>
      <c r="D20" s="74" t="s">
        <v>305</v>
      </c>
      <c r="E20" s="75" t="n">
        <f aca="false">IF($A20="","",SUMIFS('Invoice Register'!$F:$F,'Invoice Register'!$B:$B,"Contingency",'Invoice Register'!$L:$L,$A20))</f>
        <v>315</v>
      </c>
      <c r="F20" s="75" t="n">
        <f aca="false">IF($A20="","",SUMIFS('Invoice Register'!$F:$F,'Invoice Register'!$B:$B,"Contingency",'Invoice Register'!$L:$L,$A20,'Invoice Register'!$G:$G,"&lt;&gt;"))</f>
        <v>315</v>
      </c>
      <c r="G20" s="75" t="n">
        <f aca="false">IF($A20="","",E20-F20)</f>
        <v>0</v>
      </c>
      <c r="H20" s="75" t="n">
        <f aca="false">IF($A20="","",IF(E20&gt;0,0,SUMIF('Cost Lines'!$C:$C,"*purpose #"&amp;$A20&amp;" *",'Cost Lines'!$F:$F)))</f>
        <v>0</v>
      </c>
      <c r="I20" s="76" t="str">
        <f aca="false">IF(E20&gt;0,IF(F20&gt;=E20-0.005,"Paid",IF(F20&gt;0,"Part paid","Invoiced, unpaid")),IF(H20&gt;0,"Not yet invoiced",""))</f>
        <v>Paid</v>
      </c>
      <c r="J20" s="74" t="s">
        <v>124</v>
      </c>
      <c r="K20" s="75" t="n">
        <f aca="false">IF(OR($A20="",$B20=""),"",$B$4-SUMIFS($E$8:$E$60,$B$8:$B$60,"&lt;="&amp;$B20))</f>
        <v>-17.8299999999999</v>
      </c>
      <c r="L20" s="74" t="s">
        <v>309</v>
      </c>
    </row>
    <row r="21" customFormat="false" ht="15" hidden="false" customHeight="true" outlineLevel="0" collapsed="false">
      <c r="A21" s="72" t="n">
        <v>14</v>
      </c>
      <c r="B21" s="73" t="n">
        <v>46276</v>
      </c>
      <c r="C21" s="74" t="s">
        <v>145</v>
      </c>
      <c r="D21" s="74" t="s">
        <v>305</v>
      </c>
      <c r="E21" s="75" t="n">
        <f aca="false">IF($A21="","",SUMIFS('Invoice Register'!$F:$F,'Invoice Register'!$B:$B,"Contingency",'Invoice Register'!$L:$L,$A21))</f>
        <v>360</v>
      </c>
      <c r="F21" s="75" t="n">
        <f aca="false">IF($A21="","",SUMIFS('Invoice Register'!$F:$F,'Invoice Register'!$B:$B,"Contingency",'Invoice Register'!$L:$L,$A21,'Invoice Register'!$G:$G,"&lt;&gt;"))</f>
        <v>360</v>
      </c>
      <c r="G21" s="75" t="n">
        <f aca="false">IF($A21="","",E21-F21)</f>
        <v>0</v>
      </c>
      <c r="H21" s="75" t="n">
        <f aca="false">IF($A21="","",IF(E21&gt;0,0,SUMIF('Cost Lines'!$C:$C,"*purpose #"&amp;$A21&amp;" *",'Cost Lines'!$F:$F)))</f>
        <v>0</v>
      </c>
      <c r="I21" s="76" t="str">
        <f aca="false">IF(E21&gt;0,IF(F21&gt;=E21-0.005,"Paid",IF(F21&gt;0,"Part paid","Invoiced, unpaid")),IF(H21&gt;0,"Not yet invoiced",""))</f>
        <v>Paid</v>
      </c>
      <c r="J21" s="74" t="s">
        <v>115</v>
      </c>
      <c r="K21" s="75" t="n">
        <f aca="false">IF(OR($A21="",$B21=""),"",$B$4-SUMIFS($E$8:$E$60,$B$8:$B$60,"&lt;="&amp;$B21))</f>
        <v>-17.8299999999999</v>
      </c>
      <c r="L21" s="74" t="s">
        <v>307</v>
      </c>
    </row>
    <row r="22" customFormat="false" ht="27.75" hidden="false" customHeight="true" outlineLevel="0" collapsed="false">
      <c r="A22" s="72" t="n">
        <v>15</v>
      </c>
      <c r="B22" s="73"/>
      <c r="C22" s="74" t="s">
        <v>310</v>
      </c>
      <c r="D22" s="74" t="s">
        <v>11</v>
      </c>
      <c r="E22" s="75" t="n">
        <f aca="false">IF($A22="","",SUMIFS('Invoice Register'!$F:$F,'Invoice Register'!$B:$B,"Contingency",'Invoice Register'!$L:$L,$A22))</f>
        <v>0</v>
      </c>
      <c r="F22" s="75" t="n">
        <f aca="false">IF($A22="","",SUMIFS('Invoice Register'!$F:$F,'Invoice Register'!$B:$B,"Contingency",'Invoice Register'!$L:$L,$A22,'Invoice Register'!$G:$G,"&lt;&gt;"))</f>
        <v>0</v>
      </c>
      <c r="G22" s="75" t="n">
        <f aca="false">IF($A22="","",E22-F22)</f>
        <v>0</v>
      </c>
      <c r="H22" s="75" t="n">
        <f aca="false">IF($A22="","",IF(E22&gt;0,0,SUMIF('Cost Lines'!$C:$C,"*purpose #"&amp;$A22&amp;" *",'Cost Lines'!$F:$F)))</f>
        <v>47.22</v>
      </c>
      <c r="I22" s="76" t="s">
        <v>311</v>
      </c>
      <c r="J22" s="74" t="s">
        <v>285</v>
      </c>
      <c r="K22" s="75" t="str">
        <f aca="false">IF(OR($A22="",$B22=""),"",$B$4-SUMIFS($E$8:$E$60,$B$8:$B$60,"&lt;="&amp;$B22))</f>
        <v/>
      </c>
      <c r="L22" s="74" t="s">
        <v>312</v>
      </c>
    </row>
    <row r="23" customFormat="false" ht="27.75" hidden="false" customHeight="true" outlineLevel="0" collapsed="false">
      <c r="A23" s="72" t="n">
        <v>16</v>
      </c>
      <c r="B23" s="73" t="n">
        <v>46252</v>
      </c>
      <c r="C23" s="74" t="s">
        <v>313</v>
      </c>
      <c r="D23" s="74" t="s">
        <v>314</v>
      </c>
      <c r="E23" s="75" t="n">
        <f aca="false">IF($A23="","",SUMIFS('Invoice Register'!$F:$F,'Invoice Register'!$B:$B,"Contingency",'Invoice Register'!$L:$L,$A23))</f>
        <v>144.58</v>
      </c>
      <c r="F23" s="75" t="n">
        <f aca="false">IF($A23="","",SUMIFS('Invoice Register'!$F:$F,'Invoice Register'!$B:$B,"Contingency",'Invoice Register'!$L:$L,$A23,'Invoice Register'!$G:$G,"&lt;&gt;"))</f>
        <v>144.58</v>
      </c>
      <c r="G23" s="75" t="n">
        <f aca="false">IF($A23="","",E23-F23)</f>
        <v>0</v>
      </c>
      <c r="H23" s="75" t="n">
        <f aca="false">IF($A23="","",IF(E23&gt;0,0,SUMIF('Cost Lines'!$C:$C,"*purpose #"&amp;$A23&amp;" *",'Cost Lines'!$F:$F)))</f>
        <v>0</v>
      </c>
      <c r="I23" s="76" t="str">
        <f aca="false">IF(E23&gt;0,IF(F23&gt;=E23-0.005,"Paid",IF(F23&gt;0,"Part paid","Invoiced, unpaid")),IF(H23&gt;0,"Not yet invoiced",""))</f>
        <v>Paid</v>
      </c>
      <c r="J23" s="74" t="s">
        <v>285</v>
      </c>
      <c r="K23" s="75" t="n">
        <f aca="false">IF(OR($A23="",$B23=""),"",$B$4-SUMIFS($E$8:$E$60,$B$8:$B$60,"&lt;="&amp;$B23))</f>
        <v>4060.84</v>
      </c>
      <c r="L23" s="74" t="s">
        <v>315</v>
      </c>
    </row>
    <row r="24" customFormat="false" ht="27.75" hidden="false" customHeight="true" outlineLevel="0" collapsed="false">
      <c r="A24" s="72" t="n">
        <v>17</v>
      </c>
      <c r="B24" s="73" t="n">
        <v>46253</v>
      </c>
      <c r="C24" s="74" t="s">
        <v>316</v>
      </c>
      <c r="D24" s="74" t="s">
        <v>317</v>
      </c>
      <c r="E24" s="75" t="n">
        <f aca="false">IF($A24="","",SUMIFS('Invoice Register'!$F:$F,'Invoice Register'!$B:$B,"Contingency",'Invoice Register'!$L:$L,$A24))</f>
        <v>74.34</v>
      </c>
      <c r="F24" s="75" t="n">
        <f aca="false">IF($A24="","",SUMIFS('Invoice Register'!$F:$F,'Invoice Register'!$B:$B,"Contingency",'Invoice Register'!$L:$L,$A24,'Invoice Register'!$G:$G,"&lt;&gt;"))</f>
        <v>74.34</v>
      </c>
      <c r="G24" s="75" t="n">
        <f aca="false">IF($A24="","",E24-F24)</f>
        <v>0</v>
      </c>
      <c r="H24" s="75" t="n">
        <f aca="false">IF($A24="","",IF(E24&gt;0,0,SUMIF('Cost Lines'!$C:$C,"*purpose #"&amp;$A24&amp;" *",'Cost Lines'!$F:$F)))</f>
        <v>0</v>
      </c>
      <c r="I24" s="76" t="str">
        <f aca="false">IF(E24&gt;0,IF(F24&gt;=E24-0.005,"Paid",IF(F24&gt;0,"Part paid","Invoiced, unpaid")),IF(H24&gt;0,"Not yet invoiced",""))</f>
        <v>Paid</v>
      </c>
      <c r="J24" s="74" t="s">
        <v>285</v>
      </c>
      <c r="K24" s="75" t="n">
        <f aca="false">IF(OR($A24="",$B24=""),"",$B$4-SUMIFS($E$8:$E$60,$B$8:$B$60,"&lt;="&amp;$B24))</f>
        <v>3986.5</v>
      </c>
      <c r="L24" s="74" t="s">
        <v>318</v>
      </c>
    </row>
    <row r="25" customFormat="false" ht="27.75" hidden="false" customHeight="true" outlineLevel="0" collapsed="false">
      <c r="A25" s="72" t="n">
        <v>18</v>
      </c>
      <c r="B25" s="73" t="n">
        <v>46254</v>
      </c>
      <c r="C25" s="74" t="s">
        <v>319</v>
      </c>
      <c r="D25" s="74" t="s">
        <v>320</v>
      </c>
      <c r="E25" s="75" t="n">
        <f aca="false">IF($A25="","",SUMIFS('Invoice Register'!$F:$F,'Invoice Register'!$B:$B,"Contingency",'Invoice Register'!$L:$L,$A25))</f>
        <v>462.5</v>
      </c>
      <c r="F25" s="75" t="n">
        <f aca="false">IF($A25="","",SUMIFS('Invoice Register'!$F:$F,'Invoice Register'!$B:$B,"Contingency",'Invoice Register'!$L:$L,$A25,'Invoice Register'!$G:$G,"&lt;&gt;"))</f>
        <v>462.5</v>
      </c>
      <c r="G25" s="75" t="n">
        <f aca="false">IF($A25="","",E25-F25)</f>
        <v>0</v>
      </c>
      <c r="H25" s="75" t="n">
        <f aca="false">IF($A25="","",IF(E25&gt;0,0,SUMIF('Cost Lines'!$C:$C,"*purpose #"&amp;$A25&amp;" *",'Cost Lines'!$F:$F)))</f>
        <v>0</v>
      </c>
      <c r="I25" s="76" t="str">
        <f aca="false">IF(E25&gt;0,IF(F25&gt;=E25-0.005,"Paid",IF(F25&gt;0,"Part paid","Invoiced, unpaid")),IF(H25&gt;0,"Not yet invoiced",""))</f>
        <v>Paid</v>
      </c>
      <c r="J25" s="74" t="s">
        <v>285</v>
      </c>
      <c r="K25" s="75" t="n">
        <f aca="false">IF(OR($A25="",$B25=""),"",$B$4-SUMIFS($E$8:$E$60,$B$8:$B$60,"&lt;="&amp;$B25))</f>
        <v>3501.34</v>
      </c>
      <c r="L25" s="74" t="s">
        <v>321</v>
      </c>
    </row>
    <row r="26" customFormat="false" ht="27.75" hidden="false" customHeight="true" outlineLevel="0" collapsed="false">
      <c r="A26" s="72" t="n">
        <v>19</v>
      </c>
      <c r="B26" s="73" t="n">
        <v>46254</v>
      </c>
      <c r="C26" s="74" t="s">
        <v>322</v>
      </c>
      <c r="D26" s="74" t="s">
        <v>323</v>
      </c>
      <c r="E26" s="75" t="n">
        <f aca="false">IF($A26="","",SUMIFS('Invoice Register'!$F:$F,'Invoice Register'!$B:$B,"Contingency",'Invoice Register'!$L:$L,$A26))</f>
        <v>22.66</v>
      </c>
      <c r="F26" s="75" t="n">
        <f aca="false">IF($A26="","",SUMIFS('Invoice Register'!$F:$F,'Invoice Register'!$B:$B,"Contingency",'Invoice Register'!$L:$L,$A26,'Invoice Register'!$G:$G,"&lt;&gt;"))</f>
        <v>22.66</v>
      </c>
      <c r="G26" s="75" t="n">
        <f aca="false">IF($A26="","",E26-F26)</f>
        <v>0</v>
      </c>
      <c r="H26" s="75" t="n">
        <f aca="false">IF($A26="","",IF(E26&gt;0,0,SUMIF('Cost Lines'!$C:$C,"*purpose #"&amp;$A26&amp;" *",'Cost Lines'!$F:$F)))</f>
        <v>0</v>
      </c>
      <c r="I26" s="76" t="str">
        <f aca="false">IF(E26&gt;0,IF(F26&gt;=E26-0.005,"Paid",IF(F26&gt;0,"Part paid","Invoiced, unpaid")),IF(H26&gt;0,"Not yet invoiced",""))</f>
        <v>Paid</v>
      </c>
      <c r="J26" s="74" t="s">
        <v>285</v>
      </c>
      <c r="K26" s="75" t="n">
        <f aca="false">IF(OR($A26="",$B26=""),"",$B$4-SUMIFS($E$8:$E$60,$B$8:$B$60,"&lt;="&amp;$B26))</f>
        <v>3501.34</v>
      </c>
      <c r="L26" s="74" t="s">
        <v>324</v>
      </c>
    </row>
    <row r="27" customFormat="false" ht="27.75" hidden="false" customHeight="true" outlineLevel="0" collapsed="false">
      <c r="A27" s="72" t="n">
        <v>20</v>
      </c>
      <c r="B27" s="73" t="n">
        <v>46273</v>
      </c>
      <c r="C27" s="74" t="s">
        <v>325</v>
      </c>
      <c r="D27" s="74" t="s">
        <v>326</v>
      </c>
      <c r="E27" s="75" t="n">
        <f aca="false">IF($A27="","",SUMIFS('Invoice Register'!$F:$F,'Invoice Register'!$B:$B,"Contingency",'Invoice Register'!$L:$L,$A27))</f>
        <v>58.62</v>
      </c>
      <c r="F27" s="75" t="n">
        <f aca="false">IF($A27="","",SUMIFS('Invoice Register'!$F:$F,'Invoice Register'!$B:$B,"Contingency",'Invoice Register'!$L:$L,$A27,'Invoice Register'!$G:$G,"&lt;&gt;"))</f>
        <v>58.62</v>
      </c>
      <c r="G27" s="75" t="n">
        <f aca="false">IF($A27="","",E27-F27)</f>
        <v>0</v>
      </c>
      <c r="H27" s="75" t="n">
        <f aca="false">IF($A27="","",IF(E27&gt;0,0,SUMIF('Cost Lines'!$C:$C,"*purpose #"&amp;$A27&amp;" *",'Cost Lines'!$F:$F)))</f>
        <v>0</v>
      </c>
      <c r="I27" s="76" t="str">
        <f aca="false">IF(E27&gt;0,IF(F27&gt;=E27-0.005,"Paid",IF(F27&gt;0,"Part paid","Invoiced, unpaid")),IF(H27&gt;0,"Not yet invoiced",""))</f>
        <v>Paid</v>
      </c>
      <c r="J27" s="74" t="s">
        <v>285</v>
      </c>
      <c r="K27" s="75" t="n">
        <f aca="false">IF(OR($A27="",$B27=""),"",$B$4-SUMIFS($E$8:$E$60,$B$8:$B$60,"&lt;="&amp;$B27))</f>
        <v>3051.6</v>
      </c>
      <c r="L27" s="74" t="s">
        <v>327</v>
      </c>
    </row>
    <row r="28" customFormat="false" ht="27.75" hidden="false" customHeight="true" outlineLevel="0" collapsed="false">
      <c r="A28" s="72" t="n">
        <v>21</v>
      </c>
      <c r="B28" s="73" t="n">
        <v>46275</v>
      </c>
      <c r="C28" s="74" t="s">
        <v>328</v>
      </c>
      <c r="D28" s="74" t="s">
        <v>329</v>
      </c>
      <c r="E28" s="75" t="n">
        <f aca="false">IF($A28="","",SUMIFS('Invoice Register'!$F:$F,'Invoice Register'!$B:$B,"Contingency",'Invoice Register'!$L:$L,$A28))</f>
        <v>124.73</v>
      </c>
      <c r="F28" s="75" t="n">
        <f aca="false">IF($A28="","",SUMIFS('Invoice Register'!$F:$F,'Invoice Register'!$B:$B,"Contingency",'Invoice Register'!$L:$L,$A28,'Invoice Register'!$G:$G,"&lt;&gt;"))</f>
        <v>124.73</v>
      </c>
      <c r="G28" s="75" t="n">
        <f aca="false">IF($A28="","",E28-F28)</f>
        <v>0</v>
      </c>
      <c r="H28" s="75" t="n">
        <f aca="false">IF($A28="","",IF(E28&gt;0,0,SUMIF('Cost Lines'!$C:$C,"*purpose #"&amp;$A28&amp;" *",'Cost Lines'!$F:$F)))</f>
        <v>0</v>
      </c>
      <c r="I28" s="76" t="str">
        <f aca="false">IF(E28&gt;0,IF(F28&gt;=E28-0.005,"Paid",IF(F28&gt;0,"Part paid","Invoiced, unpaid")),IF(H28&gt;0,"Not yet invoiced",""))</f>
        <v>Paid</v>
      </c>
      <c r="J28" s="74" t="s">
        <v>285</v>
      </c>
      <c r="K28" s="75" t="n">
        <f aca="false">IF(OR($A28="",$B28=""),"",$B$4-SUMIFS($E$8:$E$60,$B$8:$B$60,"&lt;="&amp;$B28))</f>
        <v>2406.63</v>
      </c>
      <c r="L28" s="74" t="s">
        <v>330</v>
      </c>
    </row>
    <row r="29" customFormat="false" ht="27.75" hidden="false" customHeight="true" outlineLevel="0" collapsed="false">
      <c r="A29" s="72" t="n">
        <v>22</v>
      </c>
      <c r="B29" s="73" t="n">
        <v>46276</v>
      </c>
      <c r="C29" s="74" t="s">
        <v>331</v>
      </c>
      <c r="D29" s="74" t="s">
        <v>332</v>
      </c>
      <c r="E29" s="75" t="n">
        <f aca="false">IF($A29="","",SUMIFS('Invoice Register'!$F:$F,'Invoice Register'!$B:$B,"Contingency",'Invoice Register'!$L:$L,$A29))</f>
        <v>18.29</v>
      </c>
      <c r="F29" s="75" t="n">
        <f aca="false">IF($A29="","",SUMIFS('Invoice Register'!$F:$F,'Invoice Register'!$B:$B,"Contingency",'Invoice Register'!$L:$L,$A29,'Invoice Register'!$G:$G,"&lt;&gt;"))</f>
        <v>18.29</v>
      </c>
      <c r="G29" s="75" t="n">
        <f aca="false">IF($A29="","",E29-F29)</f>
        <v>0</v>
      </c>
      <c r="H29" s="75" t="n">
        <f aca="false">IF($A29="","",IF(E29&gt;0,0,SUMIF('Cost Lines'!$C:$C,"*purpose #"&amp;$A29&amp;" *",'Cost Lines'!$F:$F)))</f>
        <v>0</v>
      </c>
      <c r="I29" s="76" t="str">
        <f aca="false">IF(E29&gt;0,IF(F29&gt;=E29-0.005,"Paid",IF(F29&gt;0,"Part paid","Invoiced, unpaid")),IF(H29&gt;0,"Not yet invoiced",""))</f>
        <v>Paid</v>
      </c>
      <c r="J29" s="74" t="s">
        <v>333</v>
      </c>
      <c r="K29" s="75" t="n">
        <f aca="false">IF(OR($A29="",$B29=""),"",$B$4-SUMIFS($E$8:$E$60,$B$8:$B$60,"&lt;="&amp;$B29))</f>
        <v>-17.8299999999999</v>
      </c>
      <c r="L29" s="74" t="s">
        <v>334</v>
      </c>
    </row>
    <row r="30" customFormat="false" ht="27.75" hidden="false" customHeight="true" outlineLevel="0" collapsed="false">
      <c r="A30" s="72" t="n">
        <v>23</v>
      </c>
      <c r="B30" s="73" t="n">
        <v>46276</v>
      </c>
      <c r="C30" s="74" t="s">
        <v>335</v>
      </c>
      <c r="D30" s="74" t="s">
        <v>336</v>
      </c>
      <c r="E30" s="75" t="n">
        <f aca="false">IF($A30="","",SUMIFS('Invoice Register'!$F:$F,'Invoice Register'!$B:$B,"Contingency",'Invoice Register'!$L:$L,$A30))</f>
        <v>291.17</v>
      </c>
      <c r="F30" s="75" t="n">
        <f aca="false">IF($A30="","",SUMIFS('Invoice Register'!$F:$F,'Invoice Register'!$B:$B,"Contingency",'Invoice Register'!$L:$L,$A30,'Invoice Register'!$G:$G,"&lt;&gt;"))</f>
        <v>291.17</v>
      </c>
      <c r="G30" s="75" t="n">
        <f aca="false">IF($A30="","",E30-F30)</f>
        <v>0</v>
      </c>
      <c r="H30" s="75" t="n">
        <f aca="false">IF($A30="","",IF(E30&gt;0,0,SUMIF('Cost Lines'!$C:$C,"*purpose #"&amp;$A30&amp;" *",'Cost Lines'!$F:$F)))</f>
        <v>0</v>
      </c>
      <c r="I30" s="76" t="str">
        <f aca="false">IF(E30&gt;0,IF(F30&gt;=E30-0.005,"Paid",IF(F30&gt;0,"Part paid","Invoiced, unpaid")),IF(H30&gt;0,"Not yet invoiced",""))</f>
        <v>Paid</v>
      </c>
      <c r="J30" s="74" t="s">
        <v>124</v>
      </c>
      <c r="K30" s="75" t="n">
        <f aca="false">IF(OR($A30="",$B30=""),"",$B$4-SUMIFS($E$8:$E$60,$B$8:$B$60,"&lt;="&amp;$B30))</f>
        <v>-17.8299999999999</v>
      </c>
      <c r="L30" s="74" t="s">
        <v>186</v>
      </c>
    </row>
    <row r="31" customFormat="false" ht="15" hidden="false" customHeight="true" outlineLevel="0" collapsed="false">
      <c r="A31" s="72" t="n">
        <v>24</v>
      </c>
      <c r="B31" s="73" t="n">
        <v>46294</v>
      </c>
      <c r="C31" s="74" t="s">
        <v>337</v>
      </c>
      <c r="D31" s="74" t="s">
        <v>338</v>
      </c>
      <c r="E31" s="75" t="n">
        <f aca="false">IF($A31="","",SUMIFS('Invoice Register'!$F:$F,'Invoice Register'!$B:$B,"Contingency",'Invoice Register'!$L:$L,$A31))</f>
        <v>5322.74</v>
      </c>
      <c r="F31" s="75" t="n">
        <f aca="false">IF($A31="","",SUMIFS('Invoice Register'!$F:$F,'Invoice Register'!$B:$B,"Contingency",'Invoice Register'!$L:$L,$A31,'Invoice Register'!$G:$G,"&lt;&gt;"))</f>
        <v>5322.74</v>
      </c>
      <c r="G31" s="75" t="n">
        <f aca="false">IF($A31="","",E31-F31)</f>
        <v>0</v>
      </c>
      <c r="H31" s="75" t="n">
        <f aca="false">IF($A31="","",IF(E31&gt;0,0,SUMIF('Cost Lines'!$C:$C,"*purpose #"&amp;$A31&amp;" *",'Cost Lines'!$F:$F)))</f>
        <v>0</v>
      </c>
      <c r="I31" s="76" t="str">
        <f aca="false">IF(E31&gt;0,IF(F31&gt;=E31-0.005,"Paid",IF(F31&gt;0,"Part paid","Invoiced, unpaid")),IF(H31&gt;0,"Not yet invoiced",""))</f>
        <v>Paid</v>
      </c>
      <c r="J31" s="74" t="s">
        <v>115</v>
      </c>
      <c r="K31" s="75" t="n">
        <f aca="false">IF(OR($A31="",$B31=""),"",$B$4-SUMIFS($E$8:$E$60,$B$8:$B$60,"&lt;="&amp;$B31))</f>
        <v>-5729.42</v>
      </c>
      <c r="L31" s="74" t="s">
        <v>339</v>
      </c>
    </row>
    <row r="32" customFormat="false" ht="27.75" hidden="false" customHeight="true" outlineLevel="0" collapsed="false">
      <c r="A32" s="72" t="n">
        <v>25</v>
      </c>
      <c r="B32" s="73" t="n">
        <v>46245</v>
      </c>
      <c r="C32" s="74" t="s">
        <v>340</v>
      </c>
      <c r="D32" s="74" t="s">
        <v>341</v>
      </c>
      <c r="E32" s="75" t="n">
        <f aca="false">IF($A32="","",SUMIFS('Invoice Register'!$F:$F,'Invoice Register'!$B:$B,"Contingency",'Invoice Register'!$L:$L,$A32))</f>
        <v>108.14</v>
      </c>
      <c r="F32" s="75" t="n">
        <f aca="false">IF($A32="","",SUMIFS('Invoice Register'!$F:$F,'Invoice Register'!$B:$B,"Contingency",'Invoice Register'!$L:$L,$A32,'Invoice Register'!$G:$G,"&lt;&gt;"))</f>
        <v>108.14</v>
      </c>
      <c r="G32" s="75" t="n">
        <f aca="false">IF($A32="","",E32-F32)</f>
        <v>0</v>
      </c>
      <c r="H32" s="75" t="n">
        <f aca="false">IF($A32="","",IF(E32&gt;0,0,SUMIF('Cost Lines'!$C:$C,"*purpose #"&amp;$A32&amp;" *",'Cost Lines'!$F:$F)))</f>
        <v>0</v>
      </c>
      <c r="I32" s="76" t="str">
        <f aca="false">IF(E32&gt;0,IF(F32&gt;=E32-0.005,"Paid",IF(F32&gt;0,"Part paid","Invoiced, unpaid")),IF(H32&gt;0,"Not yet invoiced",""))</f>
        <v>Paid</v>
      </c>
      <c r="J32" s="74" t="s">
        <v>285</v>
      </c>
      <c r="K32" s="75" t="n">
        <f aca="false">IF(OR($A32="",$B32=""),"",$B$4-SUMIFS($E$8:$E$60,$B$8:$B$60,"&lt;="&amp;$B32))</f>
        <v>4828.96</v>
      </c>
      <c r="L32" s="74" t="s">
        <v>342</v>
      </c>
    </row>
    <row r="33" customFormat="false" ht="27.75" hidden="false" customHeight="true" outlineLevel="0" collapsed="false">
      <c r="A33" s="72" t="n">
        <v>26</v>
      </c>
      <c r="B33" s="73" t="n">
        <v>46251</v>
      </c>
      <c r="C33" s="74" t="s">
        <v>343</v>
      </c>
      <c r="D33" s="74" t="s">
        <v>344</v>
      </c>
      <c r="E33" s="75" t="n">
        <f aca="false">IF($A33="","",SUMIFS('Invoice Register'!$F:$F,'Invoice Register'!$B:$B,"Contingency",'Invoice Register'!$L:$L,$A33))</f>
        <v>347.12</v>
      </c>
      <c r="F33" s="75" t="n">
        <f aca="false">IF($A33="","",SUMIFS('Invoice Register'!$F:$F,'Invoice Register'!$B:$B,"Contingency",'Invoice Register'!$L:$L,$A33,'Invoice Register'!$G:$G,"&lt;&gt;"))</f>
        <v>347.12</v>
      </c>
      <c r="G33" s="75" t="n">
        <f aca="false">IF($A33="","",E33-F33)</f>
        <v>0</v>
      </c>
      <c r="H33" s="75" t="n">
        <f aca="false">IF($A33="","",IF(E33&gt;0,0,SUMIF('Cost Lines'!$C:$C,"*purpose #"&amp;$A33&amp;" *",'Cost Lines'!$F:$F)))</f>
        <v>0</v>
      </c>
      <c r="I33" s="76" t="str">
        <f aca="false">IF(E33&gt;0,IF(F33&gt;=E33-0.005,"Paid",IF(F33&gt;0,"Part paid","Invoiced, unpaid")),IF(H33&gt;0,"Not yet invoiced",""))</f>
        <v>Paid</v>
      </c>
      <c r="J33" s="74" t="s">
        <v>285</v>
      </c>
      <c r="K33" s="75" t="n">
        <f aca="false">IF(OR($A33="",$B33=""),"",$B$4-SUMIFS($E$8:$E$60,$B$8:$B$60,"&lt;="&amp;$B33))</f>
        <v>4205.42</v>
      </c>
      <c r="L33" s="74" t="s">
        <v>345</v>
      </c>
    </row>
    <row r="34" customFormat="false" ht="27.75" hidden="false" customHeight="true" outlineLevel="0" collapsed="false">
      <c r="A34" s="72" t="n">
        <v>27</v>
      </c>
      <c r="B34" s="73" t="n">
        <v>46268</v>
      </c>
      <c r="C34" s="74" t="s">
        <v>346</v>
      </c>
      <c r="D34" s="74" t="s">
        <v>347</v>
      </c>
      <c r="E34" s="75" t="n">
        <f aca="false">IF($A34="","",SUMIFS('Invoice Register'!$F:$F,'Invoice Register'!$B:$B,"Contingency",'Invoice Register'!$L:$L,$A34))</f>
        <v>249.46</v>
      </c>
      <c r="F34" s="75" t="n">
        <f aca="false">IF($A34="","",SUMIFS('Invoice Register'!$F:$F,'Invoice Register'!$B:$B,"Contingency",'Invoice Register'!$L:$L,$A34,'Invoice Register'!$G:$G,"&lt;&gt;"))</f>
        <v>249.46</v>
      </c>
      <c r="G34" s="75" t="n">
        <f aca="false">IF($A34="","",E34-F34)</f>
        <v>0</v>
      </c>
      <c r="H34" s="75" t="n">
        <f aca="false">IF($A34="","",IF(E34&gt;0,0,SUMIF('Cost Lines'!$C:$C,"*purpose #"&amp;$A34&amp;" *",'Cost Lines'!$F:$F)))</f>
        <v>0</v>
      </c>
      <c r="I34" s="76" t="str">
        <f aca="false">IF(E34&gt;0,IF(F34&gt;=E34-0.005,"Paid",IF(F34&gt;0,"Part paid","Invoiced, unpaid")),IF(H34&gt;0,"Not yet invoiced",""))</f>
        <v>Paid</v>
      </c>
      <c r="J34" s="74" t="s">
        <v>285</v>
      </c>
      <c r="K34" s="75" t="n">
        <f aca="false">IF(OR($A34="",$B34=""),"",$B$4-SUMIFS($E$8:$E$60,$B$8:$B$60,"&lt;="&amp;$B34))</f>
        <v>3110.22</v>
      </c>
      <c r="L34" s="74" t="s">
        <v>348</v>
      </c>
    </row>
    <row r="35" customFormat="false" ht="27.75" hidden="false" customHeight="true" outlineLevel="0" collapsed="false">
      <c r="A35" s="72" t="n">
        <v>28</v>
      </c>
      <c r="B35" s="73" t="n">
        <v>46279</v>
      </c>
      <c r="C35" s="74" t="s">
        <v>349</v>
      </c>
      <c r="D35" s="74" t="s">
        <v>350</v>
      </c>
      <c r="E35" s="75" t="n">
        <f aca="false">IF($A35="","",SUMIFS('Invoice Register'!$F:$F,'Invoice Register'!$B:$B,"Contingency",'Invoice Register'!$L:$L,$A35))</f>
        <v>277.79</v>
      </c>
      <c r="F35" s="75" t="n">
        <f aca="false">IF($A35="","",SUMIFS('Invoice Register'!$F:$F,'Invoice Register'!$B:$B,"Contingency",'Invoice Register'!$L:$L,$A35,'Invoice Register'!$G:$G,"&lt;&gt;"))</f>
        <v>277.79</v>
      </c>
      <c r="G35" s="75" t="n">
        <f aca="false">IF($A35="","",E35-F35)</f>
        <v>0</v>
      </c>
      <c r="H35" s="75" t="n">
        <f aca="false">IF($A35="","",IF(E35&gt;0,0,SUMIF('Cost Lines'!$C:$C,"*purpose #"&amp;$A35&amp;" *",'Cost Lines'!$F:$F)))</f>
        <v>0</v>
      </c>
      <c r="I35" s="76" t="str">
        <f aca="false">IF(E35&gt;0,IF(F35&gt;=E35-0.005,"Paid",IF(F35&gt;0,"Part paid","Invoiced, unpaid")),IF(H35&gt;0,"Not yet invoiced",""))</f>
        <v>Paid</v>
      </c>
      <c r="J35" s="74" t="s">
        <v>303</v>
      </c>
      <c r="K35" s="75" t="n">
        <f aca="false">IF(OR($A35="",$B35=""),"",$B$4-SUMIFS($E$8:$E$60,$B$8:$B$60,"&lt;="&amp;$B35))</f>
        <v>-295.62</v>
      </c>
      <c r="L35" s="74" t="s">
        <v>351</v>
      </c>
    </row>
    <row r="36" customFormat="false" ht="27.75" hidden="false" customHeight="true" outlineLevel="0" collapsed="false">
      <c r="A36" s="72" t="n">
        <v>29</v>
      </c>
      <c r="B36" s="73" t="n">
        <v>46286</v>
      </c>
      <c r="C36" s="74" t="s">
        <v>352</v>
      </c>
      <c r="D36" s="74" t="s">
        <v>353</v>
      </c>
      <c r="E36" s="75" t="n">
        <f aca="false">IF($A36="","",SUMIFS('Invoice Register'!$F:$F,'Invoice Register'!$B:$B,"Contingency",'Invoice Register'!$L:$L,$A36))</f>
        <v>60.3</v>
      </c>
      <c r="F36" s="75" t="n">
        <f aca="false">IF($A36="","",SUMIFS('Invoice Register'!$F:$F,'Invoice Register'!$B:$B,"Contingency",'Invoice Register'!$L:$L,$A36,'Invoice Register'!$G:$G,"&lt;&gt;"))</f>
        <v>60.3</v>
      </c>
      <c r="G36" s="75" t="n">
        <f aca="false">IF($A36="","",E36-F36)</f>
        <v>0</v>
      </c>
      <c r="H36" s="75" t="n">
        <f aca="false">IF($A36="","",IF(E36&gt;0,0,SUMIF('Cost Lines'!$C:$C,"*purpose #"&amp;$A36&amp;" *",'Cost Lines'!$F:$F)))</f>
        <v>0</v>
      </c>
      <c r="I36" s="76" t="str">
        <f aca="false">IF(E36&gt;0,IF(F36&gt;=E36-0.005,"Paid",IF(F36&gt;0,"Part paid","Invoiced, unpaid")),IF(H36&gt;0,"Not yet invoiced",""))</f>
        <v>Paid</v>
      </c>
      <c r="J36" s="74" t="s">
        <v>115</v>
      </c>
      <c r="K36" s="75" t="n">
        <f aca="false">IF(OR($A36="",$B36=""),"",$B$4-SUMIFS($E$8:$E$60,$B$8:$B$60,"&lt;="&amp;$B36))</f>
        <v>-406.68</v>
      </c>
      <c r="L36" s="74" t="s">
        <v>354</v>
      </c>
    </row>
    <row r="37" customFormat="false" ht="27.75" hidden="false" customHeight="true" outlineLevel="0" collapsed="false">
      <c r="A37" s="72" t="n">
        <v>30</v>
      </c>
      <c r="B37" s="73" t="n">
        <v>46286</v>
      </c>
      <c r="C37" s="74" t="s">
        <v>355</v>
      </c>
      <c r="D37" s="74" t="s">
        <v>356</v>
      </c>
      <c r="E37" s="75" t="n">
        <f aca="false">IF($A37="","",SUMIFS('Invoice Register'!$F:$F,'Invoice Register'!$B:$B,"Contingency",'Invoice Register'!$L:$L,$A37))</f>
        <v>50.76</v>
      </c>
      <c r="F37" s="75" t="n">
        <f aca="false">IF($A37="","",SUMIFS('Invoice Register'!$F:$F,'Invoice Register'!$B:$B,"Contingency",'Invoice Register'!$L:$L,$A37,'Invoice Register'!$G:$G,"&lt;&gt;"))</f>
        <v>50.76</v>
      </c>
      <c r="G37" s="75" t="n">
        <f aca="false">IF($A37="","",E37-F37)</f>
        <v>0</v>
      </c>
      <c r="H37" s="75" t="n">
        <f aca="false">IF($A37="","",IF(E37&gt;0,0,SUMIF('Cost Lines'!$C:$C,"*purpose #"&amp;$A37&amp;" *",'Cost Lines'!$F:$F)))</f>
        <v>0</v>
      </c>
      <c r="I37" s="76" t="str">
        <f aca="false">IF(E37&gt;0,IF(F37&gt;=E37-0.005,"Paid",IF(F37&gt;0,"Part paid","Invoiced, unpaid")),IF(H37&gt;0,"Not yet invoiced",""))</f>
        <v>Paid</v>
      </c>
      <c r="J37" s="74" t="s">
        <v>115</v>
      </c>
      <c r="K37" s="75" t="n">
        <f aca="false">IF(OR($A37="",$B37=""),"",$B$4-SUMIFS($E$8:$E$60,$B$8:$B$60,"&lt;="&amp;$B37))</f>
        <v>-406.68</v>
      </c>
      <c r="L37" s="74" t="s">
        <v>357</v>
      </c>
    </row>
    <row r="38" customFormat="false" ht="27.75" hidden="false" customHeight="true" outlineLevel="0" collapsed="false">
      <c r="A38" s="72" t="n">
        <v>31</v>
      </c>
      <c r="B38" s="73"/>
      <c r="C38" s="74" t="s">
        <v>358</v>
      </c>
      <c r="D38" s="74" t="s">
        <v>275</v>
      </c>
      <c r="E38" s="75" t="n">
        <f aca="false">IF($A38="","",SUMIFS('Invoice Register'!$F:$F,'Invoice Register'!$B:$B,"Contingency",'Invoice Register'!$L:$L,$A38))</f>
        <v>0</v>
      </c>
      <c r="F38" s="75" t="n">
        <f aca="false">IF($A38="","",SUMIFS('Invoice Register'!$F:$F,'Invoice Register'!$B:$B,"Contingency",'Invoice Register'!$L:$L,$A38,'Invoice Register'!$G:$G,"&lt;&gt;"))</f>
        <v>0</v>
      </c>
      <c r="G38" s="75" t="n">
        <f aca="false">IF($A38="","",E38-F38)</f>
        <v>0</v>
      </c>
      <c r="H38" s="75" t="n">
        <f aca="false">IF($A38="","",IF(E38&gt;0,0,SUMIF('Cost Lines'!$C:$C,"*purpose #"&amp;$A38&amp;" *",'Cost Lines'!$F:$F)))</f>
        <v>200</v>
      </c>
      <c r="I38" s="76" t="str">
        <f aca="false">IF(E38&gt;0,IF(F38&gt;=E38-0.005,"Paid",IF(F38&gt;0,"Part paid","Invoiced, unpaid")),IF(H38&gt;0,"Not yet invoiced",""))</f>
        <v>Not yet invoiced</v>
      </c>
      <c r="J38" s="74" t="s">
        <v>359</v>
      </c>
      <c r="K38" s="75" t="str">
        <f aca="false">IF(OR($A38="",$B38=""),"",$B$4-SUMIFS($E$8:$E$60,$B$8:$B$60,"&lt;="&amp;$B38))</f>
        <v/>
      </c>
      <c r="L38" s="74" t="s">
        <v>360</v>
      </c>
    </row>
    <row r="39" customFormat="false" ht="27.75" hidden="false" customHeight="true" outlineLevel="0" collapsed="false">
      <c r="A39" s="72" t="n">
        <v>32</v>
      </c>
      <c r="B39" s="73" t="n">
        <v>46304</v>
      </c>
      <c r="C39" s="74" t="s">
        <v>361</v>
      </c>
      <c r="D39" s="74" t="s">
        <v>362</v>
      </c>
      <c r="E39" s="75" t="n">
        <f aca="false">IF($A39="","",SUMIFS('Invoice Register'!$F:$F,'Invoice Register'!$B:$B,"Contingency",'Invoice Register'!$L:$L,$A39))</f>
        <v>1050</v>
      </c>
      <c r="F39" s="75" t="n">
        <f aca="false">IF($A39="","",SUMIFS('Invoice Register'!$F:$F,'Invoice Register'!$B:$B,"Contingency",'Invoice Register'!$L:$L,$A39,'Invoice Register'!$G:$G,"&lt;&gt;"))</f>
        <v>1050</v>
      </c>
      <c r="G39" s="75" t="n">
        <f aca="false">IF($A39="","",E39-F39)</f>
        <v>0</v>
      </c>
      <c r="H39" s="75" t="n">
        <f aca="false">IF($A39="","",IF(E39&gt;0,0,SUMIF('Cost Lines'!$C:$C,"*purpose #"&amp;$A39&amp;" *",'Cost Lines'!$F:$F)))</f>
        <v>0</v>
      </c>
      <c r="I39" s="76" t="str">
        <f aca="false">IF($A39="","",IF(E39&gt;0,IF(F39&gt;=E39-0.005,"Paid",IF(F39&gt;0,"Part paid","Invoiced, unpaid")),IF(H39&gt;0,"Not yet invoiced","")))</f>
        <v>Paid</v>
      </c>
      <c r="J39" s="74" t="s">
        <v>115</v>
      </c>
      <c r="K39" s="75" t="n">
        <f aca="false">IF(OR($A39="",$B39=""),"",$B$4-SUMIFS($E$8:$E$60,$B$8:$B$60,"&lt;="&amp;$B39))</f>
        <v>-7664.39</v>
      </c>
      <c r="L39" s="74" t="s">
        <v>363</v>
      </c>
    </row>
    <row r="40" customFormat="false" ht="27.75" hidden="false" customHeight="true" outlineLevel="0" collapsed="false">
      <c r="A40" s="72" t="n">
        <v>33</v>
      </c>
      <c r="B40" s="73" t="n">
        <v>46301</v>
      </c>
      <c r="C40" s="74" t="s">
        <v>364</v>
      </c>
      <c r="D40" s="74" t="s">
        <v>365</v>
      </c>
      <c r="E40" s="75" t="n">
        <f aca="false">IF($A40="","",SUMIFS('Invoice Register'!$F:$F,'Invoice Register'!$B:$B,"Contingency",'Invoice Register'!$L:$L,$A40))</f>
        <v>84.97</v>
      </c>
      <c r="F40" s="75" t="n">
        <f aca="false">IF($A40="","",SUMIFS('Invoice Register'!$F:$F,'Invoice Register'!$B:$B,"Contingency",'Invoice Register'!$L:$L,$A40,'Invoice Register'!$G:$G,"&lt;&gt;"))</f>
        <v>84.97</v>
      </c>
      <c r="G40" s="75" t="n">
        <f aca="false">IF($A40="","",E40-F40)</f>
        <v>0</v>
      </c>
      <c r="H40" s="75" t="n">
        <f aca="false">IF($A40="","",IF(E40&gt;0,0,SUMIF('Cost Lines'!$C:$C,"*purpose #"&amp;$A40&amp;" *",'Cost Lines'!$F:$F)))</f>
        <v>0</v>
      </c>
      <c r="I40" s="76" t="str">
        <f aca="false">IF($A40="","",IF(E40&gt;0,IF(F40&gt;=E40-0.005,"Paid",IF(F40&gt;0,"Part paid","Invoiced, unpaid")),IF(H40&gt;0,"Not yet invoiced","")))</f>
        <v>Paid</v>
      </c>
      <c r="J40" s="74" t="s">
        <v>285</v>
      </c>
      <c r="K40" s="75" t="n">
        <f aca="false">IF(OR($A40="",$B40=""),"",$B$4-SUMIFS($E$8:$E$60,$B$8:$B$60,"&lt;="&amp;$B40))</f>
        <v>-5814.39</v>
      </c>
      <c r="L40" s="74" t="s">
        <v>366</v>
      </c>
    </row>
    <row r="41" customFormat="false" ht="27.75" hidden="false" customHeight="true" outlineLevel="0" collapsed="false">
      <c r="A41" s="72" t="n">
        <v>34</v>
      </c>
      <c r="B41" s="73" t="n">
        <v>46314</v>
      </c>
      <c r="C41" s="74" t="s">
        <v>367</v>
      </c>
      <c r="D41" s="74" t="s">
        <v>368</v>
      </c>
      <c r="E41" s="75" t="n">
        <f aca="false">IF($A41="","",SUMIFS('Invoice Register'!$F:$F,'Invoice Register'!$B:$B,"Contingency",'Invoice Register'!$L:$L,$A41))</f>
        <v>1200</v>
      </c>
      <c r="F41" s="75" t="n">
        <f aca="false">IF($A41="","",SUMIFS('Invoice Register'!$F:$F,'Invoice Register'!$B:$B,"Contingency",'Invoice Register'!$L:$L,$A41,'Invoice Register'!$G:$G,"&lt;&gt;"))</f>
        <v>1200</v>
      </c>
      <c r="G41" s="75" t="n">
        <f aca="false">IF($A41="","",E41-F41)</f>
        <v>0</v>
      </c>
      <c r="H41" s="75" t="n">
        <f aca="false">IF($A41="","",IF(E41&gt;0,0,SUMIF('Cost Lines'!$C:$C,"*purpose #"&amp;$A41&amp;" *",'Cost Lines'!$F:$F)))</f>
        <v>0</v>
      </c>
      <c r="I41" s="76" t="str">
        <f aca="false">IF($A41="","",IF(E41&gt;0,IF(F41&gt;=E41-0.005,"Paid",IF(F41&gt;0,"Part paid","Invoiced, unpaid")),IF(H41&gt;0,"Not yet invoiced","")))</f>
        <v>Paid</v>
      </c>
      <c r="J41" s="74" t="s">
        <v>333</v>
      </c>
      <c r="K41" s="75" t="n">
        <f aca="false">IF(OR($A41="",$B41=""),"",$B$4-SUMIFS($E$8:$E$60,$B$8:$B$60,"&lt;="&amp;$B41))</f>
        <v>-10214.39</v>
      </c>
      <c r="L41" s="74" t="s">
        <v>369</v>
      </c>
    </row>
    <row r="42" customFormat="false" ht="27.75" hidden="false" customHeight="true" outlineLevel="0" collapsed="false">
      <c r="A42" s="72" t="n">
        <v>35</v>
      </c>
      <c r="B42" s="73" t="n">
        <v>46312</v>
      </c>
      <c r="C42" s="74" t="s">
        <v>370</v>
      </c>
      <c r="D42" s="74" t="s">
        <v>371</v>
      </c>
      <c r="E42" s="75" t="n">
        <f aca="false">IF($A42="","",SUMIFS('Invoice Register'!$F:$F,'Invoice Register'!$B:$B,"Contingency",'Invoice Register'!$L:$L,$A42))</f>
        <v>350</v>
      </c>
      <c r="F42" s="75" t="n">
        <f aca="false">IF($A42="","",SUMIFS('Invoice Register'!$F:$F,'Invoice Register'!$B:$B,"Contingency",'Invoice Register'!$L:$L,$A42,'Invoice Register'!$G:$G,"&lt;&gt;"))</f>
        <v>350</v>
      </c>
      <c r="G42" s="75" t="n">
        <f aca="false">IF($A42="","",E42-F42)</f>
        <v>0</v>
      </c>
      <c r="H42" s="75" t="n">
        <f aca="false">IF($A42="","",IF(E42&gt;0,0,SUMIF('Cost Lines'!$C:$C,"*purpose #"&amp;$A42&amp;" *",'Cost Lines'!$F:$F)))</f>
        <v>0</v>
      </c>
      <c r="I42" s="76" t="str">
        <f aca="false">IF($A42="","",IF(E42&gt;0,IF(F42&gt;=E42-0.005,"Paid",IF(F42&gt;0,"Part paid","Invoiced, unpaid")),IF(H42&gt;0,"Not yet invoiced","")))</f>
        <v>Paid</v>
      </c>
      <c r="J42" s="74" t="s">
        <v>129</v>
      </c>
      <c r="K42" s="75" t="n">
        <f aca="false">IF(OR($A42="",$B42=""),"",$B$4-SUMIFS($E$8:$E$60,$B$8:$B$60,"&lt;="&amp;$B42))</f>
        <v>-9014.39</v>
      </c>
      <c r="L42" s="74" t="s">
        <v>372</v>
      </c>
    </row>
    <row r="43" customFormat="false" ht="27.75" hidden="false" customHeight="true" outlineLevel="0" collapsed="false">
      <c r="A43" s="72" t="n">
        <v>36</v>
      </c>
      <c r="B43" s="73" t="n">
        <v>46312</v>
      </c>
      <c r="C43" s="74" t="s">
        <v>373</v>
      </c>
      <c r="D43" s="74" t="s">
        <v>371</v>
      </c>
      <c r="E43" s="75" t="n">
        <f aca="false">IF($A43="","",SUMIFS('Invoice Register'!$F:$F,'Invoice Register'!$B:$B,"Contingency",'Invoice Register'!$L:$L,$A43))</f>
        <v>1000</v>
      </c>
      <c r="F43" s="75" t="n">
        <f aca="false">IF($A43="","",SUMIFS('Invoice Register'!$F:$F,'Invoice Register'!$B:$B,"Contingency",'Invoice Register'!$L:$L,$A43,'Invoice Register'!$G:$G,"&lt;&gt;"))</f>
        <v>1000</v>
      </c>
      <c r="G43" s="75" t="n">
        <f aca="false">IF($A43="","",E43-F43)</f>
        <v>0</v>
      </c>
      <c r="H43" s="75" t="n">
        <f aca="false">IF($A43="","",IF(E43&gt;0,0,SUMIF('Cost Lines'!$C:$C,"*purpose #"&amp;$A43&amp;" *",'Cost Lines'!$F:$F)))</f>
        <v>0</v>
      </c>
      <c r="I43" s="76" t="str">
        <f aca="false">IF($A43="","",IF(E43&gt;0,IF(F43&gt;=E43-0.005,"Paid",IF(F43&gt;0,"Part paid","Invoiced, unpaid")),IF(H43&gt;0,"Not yet invoiced","")))</f>
        <v>Paid</v>
      </c>
      <c r="J43" s="74" t="s">
        <v>115</v>
      </c>
      <c r="K43" s="75" t="n">
        <f aca="false">IF(OR($A43="",$B43=""),"",$B$4-SUMIFS($E$8:$E$60,$B$8:$B$60,"&lt;="&amp;$B43))</f>
        <v>-9014.39</v>
      </c>
      <c r="L43" s="74" t="s">
        <v>374</v>
      </c>
    </row>
    <row r="44" customFormat="false" ht="27.75" hidden="false" customHeight="true" outlineLevel="0" collapsed="false">
      <c r="A44" s="72" t="n">
        <v>37</v>
      </c>
      <c r="B44" s="73" t="n">
        <v>46315</v>
      </c>
      <c r="C44" s="74" t="s">
        <v>375</v>
      </c>
      <c r="D44" s="74" t="s">
        <v>376</v>
      </c>
      <c r="E44" s="75" t="n">
        <f aca="false">IF($A44="","",SUMIFS('Invoice Register'!$F:$F,'Invoice Register'!$B:$B,"Contingency",'Invoice Register'!$L:$L,$A44))</f>
        <v>177.58</v>
      </c>
      <c r="F44" s="75" t="n">
        <f aca="false">IF($A44="","",SUMIFS('Invoice Register'!$F:$F,'Invoice Register'!$B:$B,"Contingency",'Invoice Register'!$L:$L,$A44,'Invoice Register'!$G:$G,"&lt;&gt;"))</f>
        <v>177.58</v>
      </c>
      <c r="G44" s="75" t="n">
        <f aca="false">IF($A44="","",E44-F44)</f>
        <v>0</v>
      </c>
      <c r="H44" s="75" t="n">
        <f aca="false">IF($A44="","",IF(E44&gt;0,0,SUMIF('Cost Lines'!$C:$C,"*purpose #"&amp;$A44&amp;" *",'Cost Lines'!$F:$F)))</f>
        <v>0</v>
      </c>
      <c r="I44" s="76" t="str">
        <f aca="false">IF($A44="","",IF(E44&gt;0,IF(F44&gt;=E44-0.005,"Paid",IF(F44&gt;0,"Part paid","Invoiced, unpaid")),IF(H44&gt;0,"Not yet invoiced","")))</f>
        <v>Paid</v>
      </c>
      <c r="J44" s="74" t="s">
        <v>333</v>
      </c>
      <c r="K44" s="75" t="n">
        <f aca="false">IF(OR($A44="",$B44=""),"",$B$4-SUMIFS($E$8:$E$60,$B$8:$B$60,"&lt;="&amp;$B44))</f>
        <v>-10391.97</v>
      </c>
      <c r="L44" s="74" t="s">
        <v>377</v>
      </c>
    </row>
    <row r="45" customFormat="false" ht="27.75" hidden="false" customHeight="true" outlineLevel="0" collapsed="false">
      <c r="A45" s="72" t="n">
        <v>38</v>
      </c>
      <c r="B45" s="73" t="n">
        <v>46317</v>
      </c>
      <c r="C45" s="74" t="s">
        <v>378</v>
      </c>
      <c r="D45" s="74" t="s">
        <v>379</v>
      </c>
      <c r="E45" s="75" t="n">
        <f aca="false">IF($A45="","",SUMIFS('Invoice Register'!$F:$F,'Invoice Register'!$B:$B,"Contingency",'Invoice Register'!$L:$L,$A45))</f>
        <v>1268</v>
      </c>
      <c r="F45" s="75" t="n">
        <f aca="false">IF($A45="","",SUMIFS('Invoice Register'!$F:$F,'Invoice Register'!$B:$B,"Contingency",'Invoice Register'!$L:$L,$A45,'Invoice Register'!$G:$G,"&lt;&gt;"))</f>
        <v>1268</v>
      </c>
      <c r="G45" s="75" t="n">
        <f aca="false">IF($A45="","",E45-F45)</f>
        <v>0</v>
      </c>
      <c r="H45" s="75" t="n">
        <f aca="false">IF($A45="","",IF(E45&gt;0,0,SUMIF('Cost Lines'!$C:$C,"*purpose #"&amp;$A45&amp;" *",'Cost Lines'!$F:$F)))</f>
        <v>0</v>
      </c>
      <c r="I45" s="76" t="str">
        <f aca="false">IF($A45="","",IF(E45&gt;0,IF(F45&gt;=E45-0.005,"Paid",IF(F45&gt;0,"Part paid","Invoiced, unpaid")),IF(H45&gt;0,"Not yet invoiced","")))</f>
        <v>Paid</v>
      </c>
      <c r="J45" s="74" t="s">
        <v>115</v>
      </c>
      <c r="K45" s="75" t="n">
        <f aca="false">IF(OR($A45="",$B45=""),"",$B$4-SUMIFS($E$8:$E$60,$B$8:$B$60,"&lt;="&amp;$B45))</f>
        <v>-11659.97</v>
      </c>
      <c r="L45" s="74" t="s">
        <v>380</v>
      </c>
    </row>
  </sheetData>
  <autoFilter ref="A7:L45"/>
  <mergeCells count="1">
    <mergeCell ref="A2:L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59E0B"/>
    <pageSetUpPr fitToPage="false"/>
  </sheetPr>
  <dimension ref="A1:L6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1" width="44"/>
    <col collapsed="false" customWidth="true" hidden="false" outlineLevel="0" max="12" min="2" style="1" width="16"/>
  </cols>
  <sheetData>
    <row r="1" customFormat="false" ht="19.5" hidden="false" customHeight="true" outlineLevel="0" collapsed="false">
      <c r="A1" s="2" t="s">
        <v>381</v>
      </c>
    </row>
    <row r="2" customFormat="false" ht="15" hidden="false" customHeight="true" outlineLevel="0" collapsed="false">
      <c r="A2" s="5" t="s">
        <v>382</v>
      </c>
    </row>
    <row r="4" customFormat="false" ht="15.75" hidden="false" customHeight="true" outlineLevel="0" collapsed="false">
      <c r="A4" s="30" t="s">
        <v>383</v>
      </c>
    </row>
    <row r="5" customFormat="false" ht="48" hidden="false" customHeight="true" outlineLevel="0" collapsed="false">
      <c r="A5" s="65" t="s">
        <v>272</v>
      </c>
      <c r="B5" s="65" t="s">
        <v>10</v>
      </c>
      <c r="C5" s="65" t="s">
        <v>13</v>
      </c>
      <c r="D5" s="65" t="s">
        <v>16</v>
      </c>
      <c r="E5" s="65" t="s">
        <v>29</v>
      </c>
      <c r="F5" s="65" t="s">
        <v>19</v>
      </c>
      <c r="G5" s="65" t="s">
        <v>21</v>
      </c>
      <c r="H5" s="65" t="s">
        <v>23</v>
      </c>
      <c r="I5" s="65" t="s">
        <v>26</v>
      </c>
      <c r="J5" s="65" t="s">
        <v>384</v>
      </c>
      <c r="K5" s="65" t="s">
        <v>385</v>
      </c>
      <c r="L5" s="65" t="s">
        <v>270</v>
      </c>
    </row>
    <row r="6" customFormat="false" ht="15" hidden="false" customHeight="true" outlineLevel="0" collapsed="false">
      <c r="A6" s="8" t="s">
        <v>285</v>
      </c>
      <c r="B6" s="77" t="n">
        <f aca="false">SUMIFS('Invoice Register'!$F:$F,'Invoice Register'!$B:$B,B$5,'Invoice Register'!$J:$J,$A6)</f>
        <v>32228.99</v>
      </c>
      <c r="C6" s="77" t="n">
        <f aca="false">SUMIFS('Invoice Register'!$F:$F,'Invoice Register'!$B:$B,C$5,'Invoice Register'!$J:$J,$A6)</f>
        <v>8400</v>
      </c>
      <c r="D6" s="77" t="n">
        <f aca="false">SUMIFS('Invoice Register'!$F:$F,'Invoice Register'!$B:$B,D$5,'Invoice Register'!$J:$J,$A6)</f>
        <v>2760.44</v>
      </c>
      <c r="E6" s="77" t="n">
        <f aca="false">SUMIFS('Invoice Register'!$F:$F,'Invoice Register'!$B:$B,E$5,'Invoice Register'!$J:$J,$A6)</f>
        <v>0</v>
      </c>
      <c r="F6" s="77" t="n">
        <f aca="false">SUMIFS('Invoice Register'!$F:$F,'Invoice Register'!$B:$B,F$5,'Invoice Register'!$J:$J,$A6)</f>
        <v>0</v>
      </c>
      <c r="G6" s="77" t="n">
        <f aca="false">SUMIFS('Invoice Register'!$F:$F,'Invoice Register'!$B:$B,G$5,'Invoice Register'!$J:$J,$A6)</f>
        <v>0</v>
      </c>
      <c r="H6" s="77" t="n">
        <f aca="false">SUMIFS('Invoice Register'!$F:$F,'Invoice Register'!$B:$B,H$5,'Invoice Register'!$J:$J,$A6)</f>
        <v>0</v>
      </c>
      <c r="I6" s="77" t="n">
        <f aca="false">SUMIFS('Invoice Register'!$F:$F,'Invoice Register'!$B:$B,I$5,'Invoice Register'!$J:$J,$A6)</f>
        <v>680</v>
      </c>
      <c r="J6" s="77" t="n">
        <f aca="false">SUM(B6:I6)</f>
        <v>44069.43</v>
      </c>
      <c r="K6" s="77" t="n">
        <f aca="false">SUMIFS('Invoice Register'!$F:$F,'Invoice Register'!$J:$J,$A6,'Invoice Register'!$G:$G,"&lt;&gt;")</f>
        <v>44069.43</v>
      </c>
      <c r="L6" s="77" t="n">
        <f aca="false">J6-K6</f>
        <v>0</v>
      </c>
    </row>
    <row r="7" customFormat="false" ht="15" hidden="false" customHeight="true" outlineLevel="0" collapsed="false">
      <c r="A7" s="8" t="s">
        <v>115</v>
      </c>
      <c r="B7" s="77" t="n">
        <f aca="false">SUMIFS('Invoice Register'!$F:$F,'Invoice Register'!$B:$B,B$5,'Invoice Register'!$J:$J,$A7)</f>
        <v>0</v>
      </c>
      <c r="C7" s="77" t="n">
        <f aca="false">SUMIFS('Invoice Register'!$F:$F,'Invoice Register'!$B:$B,C$5,'Invoice Register'!$J:$J,$A7)</f>
        <v>0</v>
      </c>
      <c r="D7" s="77" t="n">
        <f aca="false">SUMIFS('Invoice Register'!$F:$F,'Invoice Register'!$B:$B,D$5,'Invoice Register'!$J:$J,$A7)</f>
        <v>10371.8</v>
      </c>
      <c r="E7" s="77" t="n">
        <f aca="false">SUMIFS('Invoice Register'!$F:$F,'Invoice Register'!$B:$B,E$5,'Invoice Register'!$J:$J,$A7)</f>
        <v>0</v>
      </c>
      <c r="F7" s="77" t="n">
        <f aca="false">SUMIFS('Invoice Register'!$F:$F,'Invoice Register'!$B:$B,F$5,'Invoice Register'!$J:$J,$A7)</f>
        <v>0</v>
      </c>
      <c r="G7" s="77" t="n">
        <f aca="false">SUMIFS('Invoice Register'!$F:$F,'Invoice Register'!$B:$B,G$5,'Invoice Register'!$J:$J,$A7)</f>
        <v>0</v>
      </c>
      <c r="H7" s="77" t="n">
        <f aca="false">SUMIFS('Invoice Register'!$F:$F,'Invoice Register'!$B:$B,H$5,'Invoice Register'!$J:$J,$A7)</f>
        <v>0</v>
      </c>
      <c r="I7" s="77" t="n">
        <f aca="false">SUMIFS('Invoice Register'!$F:$F,'Invoice Register'!$B:$B,I$5,'Invoice Register'!$J:$J,$A7)</f>
        <v>0</v>
      </c>
      <c r="J7" s="77" t="n">
        <f aca="false">SUM(B7:I7)</f>
        <v>10371.8</v>
      </c>
      <c r="K7" s="77" t="n">
        <f aca="false">SUMIFS('Invoice Register'!$F:$F,'Invoice Register'!$J:$J,$A7,'Invoice Register'!$G:$G,"&lt;&gt;")</f>
        <v>10371.8</v>
      </c>
      <c r="L7" s="77" t="n">
        <f aca="false">J7-K7</f>
        <v>0</v>
      </c>
    </row>
    <row r="8" customFormat="false" ht="15" hidden="false" customHeight="true" outlineLevel="0" collapsed="false">
      <c r="A8" s="8" t="s">
        <v>124</v>
      </c>
      <c r="B8" s="77" t="n">
        <f aca="false">SUMIFS('Invoice Register'!$F:$F,'Invoice Register'!$B:$B,B$5,'Invoice Register'!$J:$J,$A8)</f>
        <v>0</v>
      </c>
      <c r="C8" s="77" t="n">
        <f aca="false">SUMIFS('Invoice Register'!$F:$F,'Invoice Register'!$B:$B,C$5,'Invoice Register'!$J:$J,$A8)</f>
        <v>0</v>
      </c>
      <c r="D8" s="77" t="n">
        <f aca="false">SUMIFS('Invoice Register'!$F:$F,'Invoice Register'!$B:$B,D$5,'Invoice Register'!$J:$J,$A8)</f>
        <v>606.17</v>
      </c>
      <c r="E8" s="77" t="n">
        <f aca="false">SUMIFS('Invoice Register'!$F:$F,'Invoice Register'!$B:$B,E$5,'Invoice Register'!$J:$J,$A8)</f>
        <v>0</v>
      </c>
      <c r="F8" s="77" t="n">
        <f aca="false">SUMIFS('Invoice Register'!$F:$F,'Invoice Register'!$B:$B,F$5,'Invoice Register'!$J:$J,$A8)</f>
        <v>0</v>
      </c>
      <c r="G8" s="77" t="n">
        <f aca="false">SUMIFS('Invoice Register'!$F:$F,'Invoice Register'!$B:$B,G$5,'Invoice Register'!$J:$J,$A8)</f>
        <v>0</v>
      </c>
      <c r="H8" s="77" t="n">
        <f aca="false">SUMIFS('Invoice Register'!$F:$F,'Invoice Register'!$B:$B,H$5,'Invoice Register'!$J:$J,$A8)</f>
        <v>0</v>
      </c>
      <c r="I8" s="77" t="n">
        <f aca="false">SUMIFS('Invoice Register'!$F:$F,'Invoice Register'!$B:$B,I$5,'Invoice Register'!$J:$J,$A8)</f>
        <v>0</v>
      </c>
      <c r="J8" s="77" t="n">
        <f aca="false">SUM(B8:I8)</f>
        <v>606.17</v>
      </c>
      <c r="K8" s="77" t="n">
        <f aca="false">SUMIFS('Invoice Register'!$F:$F,'Invoice Register'!$J:$J,$A8,'Invoice Register'!$G:$G,"&lt;&gt;")</f>
        <v>606.17</v>
      </c>
      <c r="L8" s="77" t="n">
        <f aca="false">J8-K8</f>
        <v>0</v>
      </c>
    </row>
    <row r="9" customFormat="false" ht="15" hidden="false" customHeight="true" outlineLevel="0" collapsed="false">
      <c r="A9" s="8" t="s">
        <v>303</v>
      </c>
      <c r="B9" s="77" t="n">
        <f aca="false">SUMIFS('Invoice Register'!$F:$F,'Invoice Register'!$B:$B,B$5,'Invoice Register'!$J:$J,$A9)</f>
        <v>0</v>
      </c>
      <c r="C9" s="77" t="n">
        <f aca="false">SUMIFS('Invoice Register'!$F:$F,'Invoice Register'!$B:$B,C$5,'Invoice Register'!$J:$J,$A9)</f>
        <v>0</v>
      </c>
      <c r="D9" s="77" t="n">
        <f aca="false">SUMIFS('Invoice Register'!$F:$F,'Invoice Register'!$B:$B,D$5,'Invoice Register'!$J:$J,$A9)</f>
        <v>836.37</v>
      </c>
      <c r="E9" s="77" t="n">
        <f aca="false">SUMIFS('Invoice Register'!$F:$F,'Invoice Register'!$B:$B,E$5,'Invoice Register'!$J:$J,$A9)</f>
        <v>0</v>
      </c>
      <c r="F9" s="77" t="n">
        <f aca="false">SUMIFS('Invoice Register'!$F:$F,'Invoice Register'!$B:$B,F$5,'Invoice Register'!$J:$J,$A9)</f>
        <v>0</v>
      </c>
      <c r="G9" s="77" t="n">
        <f aca="false">SUMIFS('Invoice Register'!$F:$F,'Invoice Register'!$B:$B,G$5,'Invoice Register'!$J:$J,$A9)</f>
        <v>0</v>
      </c>
      <c r="H9" s="77" t="n">
        <f aca="false">SUMIFS('Invoice Register'!$F:$F,'Invoice Register'!$B:$B,H$5,'Invoice Register'!$J:$J,$A9)</f>
        <v>0</v>
      </c>
      <c r="I9" s="77" t="n">
        <f aca="false">SUMIFS('Invoice Register'!$F:$F,'Invoice Register'!$B:$B,I$5,'Invoice Register'!$J:$J,$A9)</f>
        <v>0</v>
      </c>
      <c r="J9" s="77" t="n">
        <f aca="false">SUM(B9:I9)</f>
        <v>836.37</v>
      </c>
      <c r="K9" s="77" t="n">
        <f aca="false">SUMIFS('Invoice Register'!$F:$F,'Invoice Register'!$J:$J,$A9,'Invoice Register'!$G:$G,"&lt;&gt;")</f>
        <v>836.37</v>
      </c>
      <c r="L9" s="77" t="n">
        <f aca="false">J9-K9</f>
        <v>0</v>
      </c>
    </row>
    <row r="10" customFormat="false" ht="15" hidden="false" customHeight="true" outlineLevel="0" collapsed="false">
      <c r="A10" s="8" t="s">
        <v>359</v>
      </c>
      <c r="B10" s="77" t="n">
        <f aca="false">SUMIFS('Invoice Register'!$F:$F,'Invoice Register'!$B:$B,B$5,'Invoice Register'!$J:$J,$A10)</f>
        <v>0</v>
      </c>
      <c r="C10" s="77" t="n">
        <f aca="false">SUMIFS('Invoice Register'!$F:$F,'Invoice Register'!$B:$B,C$5,'Invoice Register'!$J:$J,$A10)</f>
        <v>0</v>
      </c>
      <c r="D10" s="77" t="n">
        <f aca="false">SUMIFS('Invoice Register'!$F:$F,'Invoice Register'!$B:$B,D$5,'Invoice Register'!$J:$J,$A10)</f>
        <v>0</v>
      </c>
      <c r="E10" s="77" t="n">
        <f aca="false">SUMIFS('Invoice Register'!$F:$F,'Invoice Register'!$B:$B,E$5,'Invoice Register'!$J:$J,$A10)</f>
        <v>1984.93</v>
      </c>
      <c r="F10" s="77" t="n">
        <f aca="false">SUMIFS('Invoice Register'!$F:$F,'Invoice Register'!$B:$B,F$5,'Invoice Register'!$J:$J,$A10)</f>
        <v>0</v>
      </c>
      <c r="G10" s="77" t="n">
        <f aca="false">SUMIFS('Invoice Register'!$F:$F,'Invoice Register'!$B:$B,G$5,'Invoice Register'!$J:$J,$A10)</f>
        <v>0</v>
      </c>
      <c r="H10" s="77" t="n">
        <f aca="false">SUMIFS('Invoice Register'!$F:$F,'Invoice Register'!$B:$B,H$5,'Invoice Register'!$J:$J,$A10)</f>
        <v>0</v>
      </c>
      <c r="I10" s="77" t="n">
        <f aca="false">SUMIFS('Invoice Register'!$F:$F,'Invoice Register'!$B:$B,I$5,'Invoice Register'!$J:$J,$A10)</f>
        <v>0</v>
      </c>
      <c r="J10" s="77" t="n">
        <f aca="false">SUM(B10:I10)</f>
        <v>1984.93</v>
      </c>
      <c r="K10" s="77" t="n">
        <f aca="false">SUMIFS('Invoice Register'!$F:$F,'Invoice Register'!$J:$J,$A10,'Invoice Register'!$G:$G,"&lt;&gt;")</f>
        <v>1984.93</v>
      </c>
      <c r="L10" s="77" t="n">
        <f aca="false">J10-K10</f>
        <v>0</v>
      </c>
    </row>
    <row r="11" customFormat="false" ht="15" hidden="false" customHeight="true" outlineLevel="0" collapsed="false">
      <c r="A11" s="8" t="s">
        <v>292</v>
      </c>
      <c r="B11" s="77" t="n">
        <f aca="false">SUMIFS('Invoice Register'!$F:$F,'Invoice Register'!$B:$B,B$5,'Invoice Register'!$J:$J,$A11)</f>
        <v>0</v>
      </c>
      <c r="C11" s="77" t="n">
        <f aca="false">SUMIFS('Invoice Register'!$F:$F,'Invoice Register'!$B:$B,C$5,'Invoice Register'!$J:$J,$A11)</f>
        <v>0</v>
      </c>
      <c r="D11" s="77" t="n">
        <f aca="false">SUMIFS('Invoice Register'!$F:$F,'Invoice Register'!$B:$B,D$5,'Invoice Register'!$J:$J,$A11)</f>
        <v>339.32</v>
      </c>
      <c r="E11" s="77" t="n">
        <f aca="false">SUMIFS('Invoice Register'!$F:$F,'Invoice Register'!$B:$B,E$5,'Invoice Register'!$J:$J,$A11)</f>
        <v>0</v>
      </c>
      <c r="F11" s="77" t="n">
        <f aca="false">SUMIFS('Invoice Register'!$F:$F,'Invoice Register'!$B:$B,F$5,'Invoice Register'!$J:$J,$A11)</f>
        <v>4700.01</v>
      </c>
      <c r="G11" s="77" t="n">
        <f aca="false">SUMIFS('Invoice Register'!$F:$F,'Invoice Register'!$B:$B,G$5,'Invoice Register'!$J:$J,$A11)</f>
        <v>5310</v>
      </c>
      <c r="H11" s="77" t="n">
        <f aca="false">SUMIFS('Invoice Register'!$F:$F,'Invoice Register'!$B:$B,H$5,'Invoice Register'!$J:$J,$A11)</f>
        <v>1120.69</v>
      </c>
      <c r="I11" s="77" t="n">
        <f aca="false">SUMIFS('Invoice Register'!$F:$F,'Invoice Register'!$B:$B,I$5,'Invoice Register'!$J:$J,$A11)</f>
        <v>0</v>
      </c>
      <c r="J11" s="77" t="n">
        <f aca="false">SUM(B11:I11)</f>
        <v>11470.02</v>
      </c>
      <c r="K11" s="77" t="n">
        <f aca="false">SUMIFS('Invoice Register'!$F:$F,'Invoice Register'!$J:$J,$A11,'Invoice Register'!$G:$G,"&lt;&gt;")</f>
        <v>11470.02</v>
      </c>
      <c r="L11" s="77" t="n">
        <f aca="false">J11-K11</f>
        <v>0</v>
      </c>
    </row>
    <row r="12" customFormat="false" ht="15" hidden="false" customHeight="true" outlineLevel="0" collapsed="false">
      <c r="A12" s="8" t="s">
        <v>129</v>
      </c>
      <c r="B12" s="77" t="n">
        <f aca="false">SUMIFS('Invoice Register'!$F:$F,'Invoice Register'!$B:$B,B$5,'Invoice Register'!$J:$J,$A12)</f>
        <v>0</v>
      </c>
      <c r="C12" s="77" t="n">
        <f aca="false">SUMIFS('Invoice Register'!$F:$F,'Invoice Register'!$B:$B,C$5,'Invoice Register'!$J:$J,$A12)</f>
        <v>0</v>
      </c>
      <c r="D12" s="77" t="n">
        <f aca="false">SUMIFS('Invoice Register'!$F:$F,'Invoice Register'!$B:$B,D$5,'Invoice Register'!$J:$J,$A12)</f>
        <v>350</v>
      </c>
      <c r="E12" s="77" t="n">
        <f aca="false">SUMIFS('Invoice Register'!$F:$F,'Invoice Register'!$B:$B,E$5,'Invoice Register'!$J:$J,$A12)</f>
        <v>0</v>
      </c>
      <c r="F12" s="77" t="n">
        <f aca="false">SUMIFS('Invoice Register'!$F:$F,'Invoice Register'!$B:$B,F$5,'Invoice Register'!$J:$J,$A12)</f>
        <v>0</v>
      </c>
      <c r="G12" s="77" t="n">
        <f aca="false">SUMIFS('Invoice Register'!$F:$F,'Invoice Register'!$B:$B,G$5,'Invoice Register'!$J:$J,$A12)</f>
        <v>0</v>
      </c>
      <c r="H12" s="77" t="n">
        <f aca="false">SUMIFS('Invoice Register'!$F:$F,'Invoice Register'!$B:$B,H$5,'Invoice Register'!$J:$J,$A12)</f>
        <v>0</v>
      </c>
      <c r="I12" s="77" t="n">
        <f aca="false">SUMIFS('Invoice Register'!$F:$F,'Invoice Register'!$B:$B,I$5,'Invoice Register'!$J:$J,$A12)</f>
        <v>0</v>
      </c>
      <c r="J12" s="77" t="n">
        <f aca="false">SUM(B12:I12)</f>
        <v>350</v>
      </c>
      <c r="K12" s="77" t="n">
        <f aca="false">SUMIFS('Invoice Register'!$F:$F,'Invoice Register'!$J:$J,$A12,'Invoice Register'!$G:$G,"&lt;&gt;")</f>
        <v>350</v>
      </c>
      <c r="L12" s="77" t="n">
        <f aca="false">J14-K14</f>
        <v>0</v>
      </c>
    </row>
    <row r="13" customFormat="false" ht="15" hidden="false" customHeight="true" outlineLevel="0" collapsed="false">
      <c r="A13" s="8" t="s">
        <v>131</v>
      </c>
      <c r="B13" s="77" t="n">
        <f aca="false">SUMIFS('Invoice Register'!$F:$F,'Invoice Register'!$B:$B,B$5,'Invoice Register'!$J:$J,$A13)</f>
        <v>0</v>
      </c>
      <c r="C13" s="77" t="n">
        <f aca="false">SUMIFS('Invoice Register'!$F:$F,'Invoice Register'!$B:$B,C$5,'Invoice Register'!$J:$J,$A13)</f>
        <v>0</v>
      </c>
      <c r="D13" s="77" t="n">
        <f aca="false">SUMIFS('Invoice Register'!$F:$F,'Invoice Register'!$B:$B,D$5,'Invoice Register'!$J:$J,$A13)</f>
        <v>0</v>
      </c>
      <c r="E13" s="77" t="n">
        <f aca="false">SUMIFS('Invoice Register'!$F:$F,'Invoice Register'!$B:$B,E$5,'Invoice Register'!$J:$J,$A13)</f>
        <v>0</v>
      </c>
      <c r="F13" s="77" t="n">
        <f aca="false">SUMIFS('Invoice Register'!$F:$F,'Invoice Register'!$B:$B,F$5,'Invoice Register'!$J:$J,$A13)</f>
        <v>0</v>
      </c>
      <c r="G13" s="77" t="n">
        <f aca="false">SUMIFS('Invoice Register'!$F:$F,'Invoice Register'!$B:$B,G$5,'Invoice Register'!$J:$J,$A13)</f>
        <v>0</v>
      </c>
      <c r="H13" s="77" t="n">
        <f aca="false">SUMIFS('Invoice Register'!$F:$F,'Invoice Register'!$B:$B,H$5,'Invoice Register'!$J:$J,$A13)</f>
        <v>0</v>
      </c>
      <c r="I13" s="77" t="n">
        <f aca="false">SUMIFS('Invoice Register'!$F:$F,'Invoice Register'!$B:$B,I$5,'Invoice Register'!$J:$J,$A13)</f>
        <v>0</v>
      </c>
      <c r="J13" s="77" t="n">
        <f aca="false">SUM(B13:I13)</f>
        <v>0</v>
      </c>
      <c r="K13" s="77" t="n">
        <f aca="false">SUMIFS('Invoice Register'!$F:$F,'Invoice Register'!$J:$J,$A13,'Invoice Register'!$G:$G,"&lt;&gt;")</f>
        <v>0</v>
      </c>
      <c r="L13" s="77" t="n">
        <f aca="false">J14-K14</f>
        <v>0</v>
      </c>
    </row>
    <row r="14" customFormat="false" ht="15" hidden="false" customHeight="true" outlineLevel="0" collapsed="false">
      <c r="A14" s="8" t="s">
        <v>333</v>
      </c>
      <c r="B14" s="77" t="n">
        <f aca="false">SUMIFS('Invoice Register'!$F:$F,'Invoice Register'!$B:$B,B$5,'Invoice Register'!$J:$J,$A14)</f>
        <v>0</v>
      </c>
      <c r="C14" s="77" t="n">
        <f aca="false">SUMIFS('Invoice Register'!$F:$F,'Invoice Register'!$B:$B,C$5,'Invoice Register'!$J:$J,$A14)</f>
        <v>0</v>
      </c>
      <c r="D14" s="77" t="n">
        <f aca="false">SUMIFS('Invoice Register'!$F:$F,'Invoice Register'!$B:$B,D$5,'Invoice Register'!$J:$J,$A14)</f>
        <v>1395.87</v>
      </c>
      <c r="E14" s="77" t="n">
        <f aca="false">SUMIFS('Invoice Register'!$F:$F,'Invoice Register'!$B:$B,E$5,'Invoice Register'!$J:$J,$A14)</f>
        <v>0</v>
      </c>
      <c r="F14" s="77" t="n">
        <f aca="false">SUMIFS('Invoice Register'!$F:$F,'Invoice Register'!$B:$B,F$5,'Invoice Register'!$J:$J,$A14)</f>
        <v>0</v>
      </c>
      <c r="G14" s="77" t="n">
        <f aca="false">SUMIFS('Invoice Register'!$F:$F,'Invoice Register'!$B:$B,G$5,'Invoice Register'!$J:$J,$A14)</f>
        <v>0</v>
      </c>
      <c r="H14" s="77" t="n">
        <f aca="false">SUMIFS('Invoice Register'!$F:$F,'Invoice Register'!$B:$B,H$5,'Invoice Register'!$J:$J,$A14)</f>
        <v>0</v>
      </c>
      <c r="I14" s="77" t="n">
        <f aca="false">SUMIFS('Invoice Register'!$F:$F,'Invoice Register'!$B:$B,I$5,'Invoice Register'!$J:$J,$A14)</f>
        <v>780</v>
      </c>
      <c r="J14" s="77" t="n">
        <f aca="false">SUM(B14:I14)</f>
        <v>2175.87</v>
      </c>
      <c r="K14" s="77" t="n">
        <f aca="false">SUMIFS('Invoice Register'!$F:$F,'Invoice Register'!$J:$J,$A14,'Invoice Register'!$G:$G,"&lt;&gt;")</f>
        <v>2175.87</v>
      </c>
      <c r="L14" s="77" t="n">
        <f aca="false">J14-K14</f>
        <v>0</v>
      </c>
    </row>
    <row r="15" customFormat="false" ht="15" hidden="false" customHeight="true" outlineLevel="0" collapsed="false">
      <c r="A15" s="78" t="s">
        <v>386</v>
      </c>
      <c r="B15" s="79" t="n">
        <f aca="false">SUM(B6:B14)</f>
        <v>32228.99</v>
      </c>
      <c r="C15" s="79" t="n">
        <f aca="false">SUM(C6:C14)</f>
        <v>8400</v>
      </c>
      <c r="D15" s="79" t="n">
        <f aca="false">SUM(D6:D14)</f>
        <v>16659.97</v>
      </c>
      <c r="E15" s="79" t="n">
        <f aca="false">SUM(E6:E14)</f>
        <v>1984.93</v>
      </c>
      <c r="F15" s="79" t="n">
        <f aca="false">SUM(F6:F14)</f>
        <v>4700.01</v>
      </c>
      <c r="G15" s="79" t="n">
        <f aca="false">SUM(G6:G14)</f>
        <v>5310</v>
      </c>
      <c r="H15" s="79" t="n">
        <f aca="false">SUM(H6:H14)</f>
        <v>1120.69</v>
      </c>
      <c r="I15" s="79" t="n">
        <f aca="false">SUM(I6:I14)</f>
        <v>1460</v>
      </c>
      <c r="J15" s="79" t="n">
        <f aca="false">SUM(J6:J14)</f>
        <v>71864.59</v>
      </c>
      <c r="K15" s="79" t="n">
        <f aca="false">SUM(K6:K14)</f>
        <v>71864.59</v>
      </c>
      <c r="L15" s="79" t="n">
        <f aca="false">SUM(L6:L14)</f>
        <v>0</v>
      </c>
    </row>
    <row r="16" customFormat="false" ht="15" hidden="false" customHeight="true" outlineLevel="0" collapsed="false">
      <c r="A16" s="8" t="s">
        <v>387</v>
      </c>
      <c r="B16" s="77" t="n">
        <f aca="false">SUMIF(Summary!$A$5:$A$13,B$5,Summary!$D$5:$D$13)</f>
        <v>32228.99</v>
      </c>
      <c r="C16" s="77" t="n">
        <f aca="false">SUMIF(Summary!$A$5:$A$13,C$5,Summary!$D$5:$D$13)</f>
        <v>8400</v>
      </c>
      <c r="D16" s="77" t="n">
        <f aca="false">SUMIF(Summary!$A$5:$A$13,D$5,Summary!$D$5:$D$13)</f>
        <v>16659.97</v>
      </c>
      <c r="E16" s="77" t="n">
        <f aca="false">SUMIF(Summary!$A$5:$A$13,E$5,Summary!$D$5:$D$13)</f>
        <v>1984.93</v>
      </c>
      <c r="F16" s="77" t="n">
        <f aca="false">SUMIF(Summary!$A$5:$A$13,F$5,Summary!$D$5:$D$13)</f>
        <v>4700.01</v>
      </c>
      <c r="G16" s="77" t="n">
        <f aca="false">SUMIF(Summary!$A$5:$A$13,G$5,Summary!$D$5:$D$13)</f>
        <v>5310</v>
      </c>
      <c r="H16" s="77" t="n">
        <f aca="false">SUMIF(Summary!$A$5:$A$13,H$5,Summary!$D$5:$D$13)</f>
        <v>1120.69</v>
      </c>
      <c r="I16" s="77" t="n">
        <f aca="false">SUMIF(Summary!$A$5:$A$13,I$5,Summary!$D$5:$D$13)</f>
        <v>1460</v>
      </c>
      <c r="J16" s="77" t="n">
        <f aca="false">SUM(B16:I16)</f>
        <v>71864.59</v>
      </c>
      <c r="K16" s="8"/>
      <c r="L16" s="8"/>
    </row>
    <row r="17" customFormat="false" ht="15" hidden="false" customHeight="true" outlineLevel="0" collapsed="false">
      <c r="A17" s="8" t="s">
        <v>388</v>
      </c>
      <c r="B17" s="77" t="n">
        <f aca="false">ROUND(B15-B16,2)</f>
        <v>0</v>
      </c>
      <c r="C17" s="77" t="n">
        <f aca="false">ROUND(C15-C16,2)</f>
        <v>0</v>
      </c>
      <c r="D17" s="77" t="n">
        <f aca="false">ROUND(D15-D16,2)</f>
        <v>0</v>
      </c>
      <c r="E17" s="77" t="n">
        <f aca="false">ROUND(E15-E16,2)</f>
        <v>0</v>
      </c>
      <c r="F17" s="77" t="n">
        <f aca="false">ROUND(F15-F16,2)</f>
        <v>0</v>
      </c>
      <c r="G17" s="77" t="n">
        <f aca="false">ROUND(G15-G16,2)</f>
        <v>0</v>
      </c>
      <c r="H17" s="77" t="n">
        <f aca="false">ROUND(H15-H16,2)</f>
        <v>0</v>
      </c>
      <c r="I17" s="77" t="n">
        <f aca="false">ROUND(I15-I16,2)</f>
        <v>0</v>
      </c>
      <c r="J17" s="77" t="n">
        <f aca="false">ROUND(J15-J16,2)</f>
        <v>0</v>
      </c>
      <c r="K17" s="8"/>
      <c r="L17" s="8"/>
    </row>
    <row r="19" customFormat="false" ht="15.75" hidden="false" customHeight="true" outlineLevel="0" collapsed="false">
      <c r="A19" s="30" t="s">
        <v>389</v>
      </c>
    </row>
    <row r="20" customFormat="false" ht="15" hidden="false" customHeight="true" outlineLevel="0" collapsed="false">
      <c r="A20" s="8" t="s">
        <v>390</v>
      </c>
      <c r="B20" s="77" t="n">
        <f aca="false">J6</f>
        <v>44069.43</v>
      </c>
      <c r="C20" s="8" t="s">
        <v>391</v>
      </c>
      <c r="D20" s="8"/>
      <c r="E20" s="8"/>
      <c r="F20" s="8"/>
      <c r="G20" s="8"/>
      <c r="H20" s="8"/>
      <c r="I20" s="8"/>
    </row>
    <row r="21" customFormat="false" ht="27.75" hidden="false" customHeight="true" outlineLevel="0" collapsed="false">
      <c r="A21" s="8" t="s">
        <v>392</v>
      </c>
      <c r="B21" s="77" t="n">
        <f aca="false">J7+J8</f>
        <v>10977.97</v>
      </c>
      <c r="C21" s="8" t="s">
        <v>393</v>
      </c>
      <c r="D21" s="8"/>
      <c r="E21" s="8"/>
      <c r="F21" s="8"/>
      <c r="G21" s="8"/>
      <c r="H21" s="8"/>
      <c r="I21" s="8"/>
    </row>
    <row r="22" customFormat="false" ht="15" hidden="false" customHeight="true" outlineLevel="0" collapsed="false">
      <c r="A22" s="8" t="s">
        <v>394</v>
      </c>
      <c r="B22" s="77" t="n">
        <f aca="false">J9</f>
        <v>836.37</v>
      </c>
      <c r="C22" s="8" t="s">
        <v>395</v>
      </c>
      <c r="D22" s="8"/>
      <c r="E22" s="8"/>
      <c r="F22" s="8"/>
      <c r="G22" s="8"/>
      <c r="H22" s="8"/>
      <c r="I22" s="8"/>
    </row>
    <row r="23" customFormat="false" ht="15" hidden="false" customHeight="true" outlineLevel="0" collapsed="false">
      <c r="A23" s="8" t="s">
        <v>396</v>
      </c>
      <c r="B23" s="77" t="n">
        <f aca="false">J14</f>
        <v>2175.87</v>
      </c>
      <c r="C23" s="8" t="s">
        <v>397</v>
      </c>
      <c r="D23" s="8"/>
      <c r="E23" s="8"/>
      <c r="F23" s="8"/>
      <c r="G23" s="8"/>
      <c r="H23" s="8"/>
      <c r="I23" s="8"/>
    </row>
    <row r="24" customFormat="false" ht="15" hidden="false" customHeight="true" outlineLevel="0" collapsed="false">
      <c r="A24" s="8" t="s">
        <v>398</v>
      </c>
      <c r="B24" s="77" t="n">
        <f aca="false">J12</f>
        <v>350</v>
      </c>
      <c r="C24" s="8" t="s">
        <v>399</v>
      </c>
      <c r="D24" s="80"/>
      <c r="E24" s="80"/>
      <c r="F24" s="80"/>
      <c r="G24" s="80"/>
      <c r="H24" s="80"/>
      <c r="I24" s="81"/>
    </row>
    <row r="25" customFormat="false" ht="15" hidden="false" customHeight="true" outlineLevel="0" collapsed="false">
      <c r="A25" s="8" t="s">
        <v>400</v>
      </c>
      <c r="B25" s="77" t="n">
        <f aca="false">J13</f>
        <v>0</v>
      </c>
      <c r="C25" s="8" t="s">
        <v>401</v>
      </c>
      <c r="D25" s="80"/>
      <c r="E25" s="80"/>
      <c r="F25" s="80"/>
      <c r="G25" s="80"/>
      <c r="H25" s="80"/>
      <c r="I25" s="81"/>
    </row>
    <row r="26" customFormat="false" ht="15.75" hidden="false" customHeight="true" outlineLevel="0" collapsed="false">
      <c r="A26" s="30" t="s">
        <v>402</v>
      </c>
    </row>
    <row r="27" customFormat="false" ht="15" hidden="false" customHeight="true" outlineLevel="0" collapsed="false">
      <c r="A27" s="65" t="s">
        <v>272</v>
      </c>
      <c r="B27" s="65" t="s">
        <v>403</v>
      </c>
      <c r="C27" s="65" t="s">
        <v>404</v>
      </c>
      <c r="D27" s="65" t="s">
        <v>405</v>
      </c>
    </row>
    <row r="28" customFormat="false" ht="15" hidden="false" customHeight="true" outlineLevel="0" collapsed="false">
      <c r="A28" s="8" t="s">
        <v>285</v>
      </c>
      <c r="B28" s="77" t="n">
        <f aca="false">SUMIFS('Invoice Register'!$F:$F,'Invoice Register'!$B:$B,"Contingency",'Invoice Register'!$J:$J,$A28)</f>
        <v>2760.44</v>
      </c>
      <c r="C28" s="77" t="n">
        <f aca="false">SUMIFS('Contingency Drawdown'!$E$8:$E$60,'Contingency Drawdown'!$J$8:$J$60,$A28)</f>
        <v>2760.44</v>
      </c>
      <c r="D28" s="77" t="n">
        <f aca="false">ROUND(B28-C28,2)</f>
        <v>0</v>
      </c>
    </row>
    <row r="29" customFormat="false" ht="15" hidden="false" customHeight="true" outlineLevel="0" collapsed="false">
      <c r="A29" s="8" t="s">
        <v>115</v>
      </c>
      <c r="B29" s="77" t="n">
        <f aca="false">SUMIFS('Invoice Register'!$F:$F,'Invoice Register'!$B:$B,"Contingency",'Invoice Register'!$J:$J,$A29)</f>
        <v>10371.8</v>
      </c>
      <c r="C29" s="77" t="n">
        <f aca="false">SUMIFS('Contingency Drawdown'!$E$8:$E$60,'Contingency Drawdown'!$J$8:$J$60,$A29)</f>
        <v>10371.8</v>
      </c>
      <c r="D29" s="77" t="n">
        <f aca="false">ROUND(B29-C29,2)</f>
        <v>0</v>
      </c>
    </row>
    <row r="30" customFormat="false" ht="15" hidden="false" customHeight="true" outlineLevel="0" collapsed="false">
      <c r="A30" s="8" t="s">
        <v>124</v>
      </c>
      <c r="B30" s="77" t="n">
        <f aca="false">SUMIFS('Invoice Register'!$F:$F,'Invoice Register'!$B:$B,"Contingency",'Invoice Register'!$J:$J,$A30)</f>
        <v>606.17</v>
      </c>
      <c r="C30" s="77" t="n">
        <f aca="false">SUMIFS('Contingency Drawdown'!$E$8:$E$60,'Contingency Drawdown'!$J$8:$J$60,$A30)</f>
        <v>606.17</v>
      </c>
      <c r="D30" s="77" t="n">
        <f aca="false">ROUND(B30-C30,2)</f>
        <v>0</v>
      </c>
    </row>
    <row r="31" customFormat="false" ht="15" hidden="false" customHeight="true" outlineLevel="0" collapsed="false">
      <c r="A31" s="8" t="s">
        <v>303</v>
      </c>
      <c r="B31" s="77" t="n">
        <f aca="false">SUMIFS('Invoice Register'!$F:$F,'Invoice Register'!$B:$B,"Contingency",'Invoice Register'!$J:$J,$A31)</f>
        <v>836.37</v>
      </c>
      <c r="C31" s="77" t="n">
        <f aca="false">SUMIFS('Contingency Drawdown'!$E$8:$E$60,'Contingency Drawdown'!$J$8:$J$60,$A31)</f>
        <v>836.37</v>
      </c>
      <c r="D31" s="77" t="n">
        <f aca="false">ROUND(B31-C31,2)</f>
        <v>0</v>
      </c>
    </row>
    <row r="32" customFormat="false" ht="15" hidden="false" customHeight="true" outlineLevel="0" collapsed="false">
      <c r="A32" s="8" t="s">
        <v>359</v>
      </c>
      <c r="B32" s="77" t="n">
        <f aca="false">SUMIFS('Invoice Register'!$F:$F,'Invoice Register'!$B:$B,"Contingency",'Invoice Register'!$J:$J,$A32)</f>
        <v>0</v>
      </c>
      <c r="C32" s="77" t="n">
        <f aca="false">SUMIFS('Contingency Drawdown'!$E$8:$E$60,'Contingency Drawdown'!$J$8:$J$60,$A32)</f>
        <v>0</v>
      </c>
      <c r="D32" s="77" t="n">
        <f aca="false">ROUND(B32-C32,2)</f>
        <v>0</v>
      </c>
    </row>
    <row r="33" customFormat="false" ht="15" hidden="false" customHeight="true" outlineLevel="0" collapsed="false">
      <c r="A33" s="8" t="s">
        <v>292</v>
      </c>
      <c r="B33" s="77" t="n">
        <f aca="false">SUMIFS('Invoice Register'!$F:$F,'Invoice Register'!$B:$B,"Contingency",'Invoice Register'!$J:$J,$A33)</f>
        <v>339.32</v>
      </c>
      <c r="C33" s="77" t="n">
        <f aca="false">SUMIFS('Contingency Drawdown'!$E$8:$E$60,'Contingency Drawdown'!$J$8:$J$60,$A33)</f>
        <v>339.32</v>
      </c>
      <c r="D33" s="77" t="n">
        <f aca="false">ROUND(B33-C33,2)</f>
        <v>0</v>
      </c>
    </row>
    <row r="34" customFormat="false" ht="15" hidden="false" customHeight="true" outlineLevel="0" collapsed="false">
      <c r="A34" s="8" t="s">
        <v>129</v>
      </c>
      <c r="B34" s="77" t="n">
        <f aca="false">SUMIFS('Invoice Register'!$F:$F,'Invoice Register'!$B:$B,"Contingency",'Invoice Register'!$J:$J,$A34)</f>
        <v>350</v>
      </c>
      <c r="C34" s="77" t="n">
        <f aca="false">SUMIFS('Contingency Drawdown'!$E$8:$E$60,'Contingency Drawdown'!$J$8:$J$60,$A34)</f>
        <v>350</v>
      </c>
      <c r="D34" s="77" t="n">
        <f aca="false">ROUND(B34-C34,2)</f>
        <v>0</v>
      </c>
    </row>
    <row r="35" customFormat="false" ht="15" hidden="false" customHeight="true" outlineLevel="0" collapsed="false">
      <c r="A35" s="8" t="s">
        <v>131</v>
      </c>
      <c r="B35" s="77" t="n">
        <f aca="false">SUMIFS('Invoice Register'!$F:$F,'Invoice Register'!$B:$B,"Contingency",'Invoice Register'!$J:$J,$A35)</f>
        <v>0</v>
      </c>
      <c r="C35" s="77" t="n">
        <f aca="false">SUMIFS('Contingency Drawdown'!$E$8:$E$60,'Contingency Drawdown'!$J$8:$J$60,$A35)</f>
        <v>0</v>
      </c>
      <c r="D35" s="77" t="n">
        <f aca="false">ROUND(B35-C35,2)</f>
        <v>0</v>
      </c>
    </row>
    <row r="36" customFormat="false" ht="15" hidden="false" customHeight="true" outlineLevel="0" collapsed="false">
      <c r="A36" s="8" t="s">
        <v>333</v>
      </c>
      <c r="B36" s="77" t="n">
        <f aca="false">SUMIFS('Invoice Register'!$F:$F,'Invoice Register'!$B:$B,"Contingency",'Invoice Register'!$J:$J,$A36)</f>
        <v>1395.87</v>
      </c>
      <c r="C36" s="77" t="n">
        <f aca="false">SUMIFS('Contingency Drawdown'!$E$8:$E$60,'Contingency Drawdown'!$J$8:$J$60,$A36)</f>
        <v>1395.87</v>
      </c>
      <c r="D36" s="77" t="n">
        <f aca="false">ROUND(B36-C36,2)</f>
        <v>0</v>
      </c>
    </row>
    <row r="37" customFormat="false" ht="15" hidden="false" customHeight="true" outlineLevel="0" collapsed="false">
      <c r="A37" s="78" t="s">
        <v>386</v>
      </c>
      <c r="B37" s="79" t="n">
        <f aca="false">SUM(B28:B36)</f>
        <v>16659.97</v>
      </c>
      <c r="C37" s="79" t="n">
        <f aca="false">SUM(C28:C36)</f>
        <v>16659.97</v>
      </c>
      <c r="D37" s="79" t="n">
        <f aca="false">ROUND(B37-C37,2)</f>
        <v>0</v>
      </c>
    </row>
    <row r="38" customFormat="false" ht="27.75" hidden="false" customHeight="true" outlineLevel="0" collapsed="false">
      <c r="A38" s="8" t="s">
        <v>406</v>
      </c>
      <c r="B38" s="77" t="n">
        <f aca="false">ROUND(B37-Summary!$D$7,2)</f>
        <v>0</v>
      </c>
      <c r="C38" s="8"/>
      <c r="D38" s="8"/>
    </row>
    <row r="41" customFormat="false" ht="15.75" hidden="false" customHeight="true" outlineLevel="0" collapsed="false">
      <c r="A41" s="30" t="s">
        <v>407</v>
      </c>
    </row>
    <row r="42" customFormat="false" ht="15" hidden="false" customHeight="true" outlineLevel="0" collapsed="false">
      <c r="A42" s="65" t="s">
        <v>272</v>
      </c>
      <c r="B42" s="65" t="s">
        <v>408</v>
      </c>
      <c r="C42" s="65" t="s">
        <v>409</v>
      </c>
    </row>
    <row r="43" customFormat="false" ht="15" hidden="false" customHeight="true" outlineLevel="0" collapsed="false">
      <c r="A43" s="8" t="s">
        <v>285</v>
      </c>
      <c r="B43" s="77" t="n">
        <f aca="false">SUMIFS('TP Line Items'!$F:$F,'TP Line Items'!$G:$G,$A43)</f>
        <v>1592.15</v>
      </c>
      <c r="C43" s="82" t="n">
        <f aca="false">IF($B$52=0,0,B43/$B$52)</f>
        <v>0.494929932979372</v>
      </c>
    </row>
    <row r="44" customFormat="false" ht="15" hidden="false" customHeight="true" outlineLevel="0" collapsed="false">
      <c r="A44" s="8" t="s">
        <v>115</v>
      </c>
      <c r="B44" s="77" t="n">
        <f aca="false">SUMIFS('TP Line Items'!$F:$F,'TP Line Items'!$G:$G,$A44)</f>
        <v>111.06</v>
      </c>
      <c r="C44" s="82" t="n">
        <f aca="false">IF($B$52=0,0,B44/$B$52)</f>
        <v>0.0345237059050272</v>
      </c>
    </row>
    <row r="45" customFormat="false" ht="15" hidden="false" customHeight="true" outlineLevel="0" collapsed="false">
      <c r="A45" s="8" t="s">
        <v>124</v>
      </c>
      <c r="B45" s="77" t="n">
        <f aca="false">SUMIFS('TP Line Items'!$F:$F,'TP Line Items'!$G:$G,$A45)</f>
        <v>291.17</v>
      </c>
      <c r="C45" s="82" t="n">
        <f aca="false">IF($B$52=0,0,B45/$B$52)</f>
        <v>0.0905120425748853</v>
      </c>
    </row>
    <row r="46" customFormat="false" ht="15" hidden="false" customHeight="true" outlineLevel="0" collapsed="false">
      <c r="A46" s="8" t="s">
        <v>303</v>
      </c>
      <c r="B46" s="77" t="n">
        <f aca="false">SUMIFS('TP Line Items'!$F:$F,'TP Line Items'!$G:$G,$A46)</f>
        <v>656.37</v>
      </c>
      <c r="C46" s="82" t="n">
        <f aca="false">IF($B$52=0,0,B46/$B$52)</f>
        <v>0.204036780522985</v>
      </c>
    </row>
    <row r="47" customFormat="false" ht="15" hidden="false" customHeight="true" outlineLevel="0" collapsed="false">
      <c r="A47" s="8" t="s">
        <v>359</v>
      </c>
      <c r="B47" s="77" t="n">
        <f aca="false">SUMIFS('TP Line Items'!$F:$F,'TP Line Items'!$G:$G,$A47)</f>
        <v>0</v>
      </c>
      <c r="C47" s="82" t="n">
        <f aca="false">IF($B$52=0,0,B47/$B$52)</f>
        <v>0</v>
      </c>
    </row>
    <row r="48" customFormat="false" ht="15" hidden="false" customHeight="true" outlineLevel="0" collapsed="false">
      <c r="A48" s="8" t="s">
        <v>292</v>
      </c>
      <c r="B48" s="77" t="n">
        <f aca="false">SUMIFS('TP Line Items'!$F:$F,'TP Line Items'!$G:$G,$A48)</f>
        <v>547.88</v>
      </c>
      <c r="C48" s="82" t="n">
        <f aca="false">IF($B$52=0,0,B48/$B$52)</f>
        <v>0.170311975429914</v>
      </c>
    </row>
    <row r="49" customFormat="false" ht="15" hidden="false" customHeight="true" outlineLevel="0" collapsed="false">
      <c r="A49" s="8" t="s">
        <v>129</v>
      </c>
      <c r="B49" s="77" t="n">
        <f aca="false">SUMIFS('TP Line Items'!$F:$F,'TP Line Items'!$G:$G,$A49)</f>
        <v>0</v>
      </c>
      <c r="C49" s="82" t="n">
        <f aca="false">IF($B$52=0,0,B49/$B$52)</f>
        <v>0</v>
      </c>
    </row>
    <row r="50" customFormat="false" ht="15" hidden="false" customHeight="true" outlineLevel="0" collapsed="false">
      <c r="A50" s="8" t="s">
        <v>131</v>
      </c>
      <c r="B50" s="77" t="n">
        <f aca="false">SUMIFS('TP Line Items'!$F:$F,'TP Line Items'!$G:$G,$A50)</f>
        <v>0</v>
      </c>
      <c r="C50" s="82" t="n">
        <f aca="false">IF($B$52=0,0,B50/$B$52)</f>
        <v>0</v>
      </c>
    </row>
    <row r="51" customFormat="false" ht="15" hidden="false" customHeight="true" outlineLevel="0" collapsed="false">
      <c r="A51" s="8" t="s">
        <v>333</v>
      </c>
      <c r="B51" s="77" t="n">
        <f aca="false">SUMIFS('TP Line Items'!$F:$F,'TP Line Items'!$G:$G,$A51)</f>
        <v>18.29</v>
      </c>
      <c r="C51" s="82" t="n">
        <f aca="false">IF($B$52=0,0,B51/$B$52)</f>
        <v>0.00568556258781692</v>
      </c>
    </row>
    <row r="52" customFormat="false" ht="15" hidden="false" customHeight="true" outlineLevel="0" collapsed="false">
      <c r="A52" s="78" t="s">
        <v>386</v>
      </c>
      <c r="B52" s="79" t="n">
        <f aca="false">SUM(B43:B51)</f>
        <v>3216.92</v>
      </c>
      <c r="C52" s="83" t="n">
        <f aca="false">SUM(C43:C51)</f>
        <v>1</v>
      </c>
    </row>
    <row r="53" customFormat="false" ht="27.75" hidden="false" customHeight="true" outlineLevel="0" collapsed="false">
      <c r="A53" s="8" t="s">
        <v>410</v>
      </c>
      <c r="B53" s="77" t="n">
        <f aca="false">ROUND('TP Account'!$E$22-B52,2)</f>
        <v>0</v>
      </c>
      <c r="C53" s="8"/>
    </row>
    <row r="56" customFormat="false" ht="15.75" hidden="false" customHeight="true" outlineLevel="0" collapsed="false">
      <c r="A56" s="30" t="s">
        <v>411</v>
      </c>
    </row>
    <row r="57" customFormat="false" ht="15" hidden="false" customHeight="true" outlineLevel="0" collapsed="false">
      <c r="A57" s="65" t="s">
        <v>188</v>
      </c>
      <c r="B57" s="65" t="s">
        <v>272</v>
      </c>
      <c r="C57" s="65" t="s">
        <v>3</v>
      </c>
      <c r="D57" s="65" t="s">
        <v>412</v>
      </c>
      <c r="E57" s="65" t="s">
        <v>224</v>
      </c>
    </row>
    <row r="58" customFormat="false" ht="68.25" hidden="false" customHeight="true" outlineLevel="0" collapsed="false">
      <c r="A58" s="8" t="s">
        <v>413</v>
      </c>
      <c r="B58" s="8" t="s">
        <v>285</v>
      </c>
      <c r="C58" s="8" t="s">
        <v>16</v>
      </c>
      <c r="D58" s="77" t="n">
        <f aca="false">SUMIFS('Contingency Drawdown'!$H$8:$H$60,'Contingency Drawdown'!$A$8:$A$60,4)</f>
        <v>0</v>
      </c>
      <c r="E58" s="8" t="s">
        <v>414</v>
      </c>
    </row>
    <row r="59" customFormat="false" ht="27.75" hidden="false" customHeight="true" outlineLevel="0" collapsed="false">
      <c r="A59" s="8" t="s">
        <v>415</v>
      </c>
      <c r="B59" s="8" t="s">
        <v>359</v>
      </c>
      <c r="C59" s="8" t="s">
        <v>16</v>
      </c>
      <c r="D59" s="77" t="n">
        <f aca="false">SUMIFS('Contingency Drawdown'!$H$8:$H$60,'Contingency Drawdown'!$A$8:$A$60,31)</f>
        <v>200</v>
      </c>
      <c r="E59" s="8" t="s">
        <v>416</v>
      </c>
    </row>
    <row r="60" customFormat="false" ht="27.75" hidden="false" customHeight="true" outlineLevel="0" collapsed="false">
      <c r="A60" s="8" t="s">
        <v>417</v>
      </c>
      <c r="B60" s="8" t="s">
        <v>333</v>
      </c>
      <c r="C60" s="8" t="s">
        <v>16</v>
      </c>
      <c r="D60" s="77" t="n">
        <f aca="false">SUMIFS('Contingency Drawdown'!$H$8:$H$60,'Contingency Drawdown'!$A$8:$A$60,34)</f>
        <v>0</v>
      </c>
      <c r="E60" s="8" t="s">
        <v>418</v>
      </c>
    </row>
    <row r="61" customFormat="false" ht="81.75" hidden="false" customHeight="true" outlineLevel="0" collapsed="false">
      <c r="A61" s="78" t="s">
        <v>419</v>
      </c>
      <c r="B61" s="78"/>
      <c r="C61" s="78"/>
      <c r="D61" s="79" t="n">
        <f aca="false">SUM(D58:D60)</f>
        <v>200</v>
      </c>
      <c r="E61" s="78" t="s">
        <v>420</v>
      </c>
    </row>
  </sheetData>
  <mergeCells count="4">
    <mergeCell ref="C20:I20"/>
    <mergeCell ref="C21:I21"/>
    <mergeCell ref="C22:I22"/>
    <mergeCell ref="C23:I2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59E0B"/>
    <pageSetUpPr fitToPage="false"/>
  </sheetPr>
  <dimension ref="A1:H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24"/>
    <col collapsed="false" customWidth="true" hidden="false" outlineLevel="0" max="3" min="3" style="1" width="34"/>
    <col collapsed="false" customWidth="true" hidden="false" outlineLevel="0" max="5" min="4" style="1" width="30"/>
    <col collapsed="false" customWidth="true" hidden="false" outlineLevel="0" max="6" min="6" style="1" width="12"/>
    <col collapsed="false" customWidth="true" hidden="false" outlineLevel="0" max="7" min="7" style="1" width="20"/>
    <col collapsed="false" customWidth="true" hidden="false" outlineLevel="0" max="8" min="8" style="1" width="44"/>
  </cols>
  <sheetData>
    <row r="1" customFormat="false" ht="19.5" hidden="false" customHeight="true" outlineLevel="0" collapsed="false">
      <c r="A1" s="2" t="s">
        <v>421</v>
      </c>
    </row>
    <row r="2" customFormat="false" ht="15" hidden="false" customHeight="true" outlineLevel="0" collapsed="false">
      <c r="A2" s="5" t="s">
        <v>422</v>
      </c>
    </row>
    <row r="4" customFormat="false" ht="15" hidden="false" customHeight="true" outlineLevel="0" collapsed="false">
      <c r="A4" s="6" t="s">
        <v>423</v>
      </c>
      <c r="B4" s="6" t="s">
        <v>3</v>
      </c>
      <c r="C4" s="6" t="s">
        <v>424</v>
      </c>
      <c r="D4" s="6" t="s">
        <v>425</v>
      </c>
      <c r="E4" s="6" t="s">
        <v>426</v>
      </c>
      <c r="F4" s="6" t="s">
        <v>427</v>
      </c>
      <c r="G4" s="6" t="s">
        <v>224</v>
      </c>
      <c r="H4" s="6" t="s">
        <v>9</v>
      </c>
    </row>
    <row r="5" customFormat="false" ht="15" hidden="false" customHeight="true" outlineLevel="0" collapsed="false">
      <c r="A5" s="84" t="n">
        <v>1</v>
      </c>
      <c r="B5" s="8" t="s">
        <v>10</v>
      </c>
      <c r="C5" s="8" t="s">
        <v>428</v>
      </c>
      <c r="D5" s="8" t="s">
        <v>11</v>
      </c>
      <c r="E5" s="8" t="s">
        <v>429</v>
      </c>
      <c r="F5" s="18" t="n">
        <v>32228.99</v>
      </c>
      <c r="G5" s="85" t="s">
        <v>430</v>
      </c>
      <c r="H5" s="8"/>
    </row>
    <row r="6" customFormat="false" ht="15" hidden="false" customHeight="true" outlineLevel="0" collapsed="false">
      <c r="A6" s="84" t="n">
        <v>2</v>
      </c>
      <c r="B6" s="8" t="s">
        <v>431</v>
      </c>
      <c r="C6" s="8" t="s">
        <v>432</v>
      </c>
      <c r="D6" s="8" t="s">
        <v>433</v>
      </c>
      <c r="E6" s="8" t="s">
        <v>434</v>
      </c>
      <c r="F6" s="18" t="n">
        <v>2000</v>
      </c>
      <c r="G6" s="85" t="s">
        <v>430</v>
      </c>
      <c r="H6" s="8" t="s">
        <v>435</v>
      </c>
    </row>
    <row r="7" customFormat="false" ht="15" hidden="false" customHeight="true" outlineLevel="0" collapsed="false">
      <c r="A7" s="84" t="n">
        <v>3</v>
      </c>
      <c r="B7" s="8" t="s">
        <v>431</v>
      </c>
      <c r="C7" s="8" t="s">
        <v>436</v>
      </c>
      <c r="D7" s="8" t="s">
        <v>433</v>
      </c>
      <c r="E7" s="8" t="s">
        <v>437</v>
      </c>
      <c r="F7" s="18" t="n">
        <v>1200</v>
      </c>
      <c r="G7" s="86" t="s">
        <v>438</v>
      </c>
      <c r="H7" s="8" t="s">
        <v>439</v>
      </c>
    </row>
    <row r="8" customFormat="false" ht="15" hidden="false" customHeight="true" outlineLevel="0" collapsed="false">
      <c r="A8" s="84" t="n">
        <v>4</v>
      </c>
      <c r="B8" s="8" t="s">
        <v>19</v>
      </c>
      <c r="C8" s="8" t="s">
        <v>440</v>
      </c>
      <c r="D8" s="8" t="s">
        <v>14</v>
      </c>
      <c r="E8" s="8" t="s">
        <v>441</v>
      </c>
      <c r="F8" s="18" t="n">
        <v>3200</v>
      </c>
      <c r="G8" s="85" t="s">
        <v>430</v>
      </c>
      <c r="H8" s="8" t="s">
        <v>442</v>
      </c>
    </row>
    <row r="9" customFormat="false" ht="15" hidden="false" customHeight="true" outlineLevel="0" collapsed="false">
      <c r="A9" s="84" t="n">
        <v>5</v>
      </c>
      <c r="B9" s="8" t="s">
        <v>21</v>
      </c>
      <c r="C9" s="8" t="s">
        <v>443</v>
      </c>
      <c r="D9" s="8" t="s">
        <v>14</v>
      </c>
      <c r="E9" s="8" t="s">
        <v>444</v>
      </c>
      <c r="F9" s="18" t="n">
        <v>1710</v>
      </c>
      <c r="G9" s="85" t="s">
        <v>430</v>
      </c>
      <c r="H9" s="8" t="s">
        <v>445</v>
      </c>
    </row>
    <row r="10" customFormat="false" ht="15" hidden="false" customHeight="true" outlineLevel="0" collapsed="false">
      <c r="A10" s="84" t="n">
        <v>6</v>
      </c>
      <c r="B10" s="8" t="s">
        <v>21</v>
      </c>
      <c r="C10" s="8" t="s">
        <v>446</v>
      </c>
      <c r="D10" s="8" t="s">
        <v>14</v>
      </c>
      <c r="E10" s="8" t="s">
        <v>447</v>
      </c>
      <c r="F10" s="18" t="n">
        <v>1900</v>
      </c>
      <c r="G10" s="86" t="s">
        <v>448</v>
      </c>
      <c r="H10" s="8" t="s">
        <v>449</v>
      </c>
    </row>
    <row r="11" customFormat="false" ht="41.25" hidden="false" customHeight="true" outlineLevel="0" collapsed="false">
      <c r="A11" s="84" t="n">
        <v>7</v>
      </c>
      <c r="B11" s="8" t="s">
        <v>16</v>
      </c>
      <c r="C11" s="8" t="s">
        <v>450</v>
      </c>
      <c r="D11" s="8" t="s">
        <v>14</v>
      </c>
      <c r="E11" s="8" t="s">
        <v>451</v>
      </c>
      <c r="F11" s="18" t="n">
        <v>0</v>
      </c>
      <c r="G11" s="87" t="s">
        <v>448</v>
      </c>
      <c r="H11" s="8" t="s">
        <v>452</v>
      </c>
    </row>
    <row r="12" customFormat="false" ht="27.75" hidden="false" customHeight="true" outlineLevel="0" collapsed="false">
      <c r="A12" s="84" t="n">
        <v>8</v>
      </c>
      <c r="B12" s="8" t="s">
        <v>13</v>
      </c>
      <c r="C12" s="8" t="s">
        <v>453</v>
      </c>
      <c r="D12" s="8" t="s">
        <v>14</v>
      </c>
      <c r="E12" s="8" t="s">
        <v>454</v>
      </c>
      <c r="F12" s="18" t="n">
        <v>17600</v>
      </c>
      <c r="G12" s="86" t="s">
        <v>455</v>
      </c>
      <c r="H12" s="8" t="s">
        <v>456</v>
      </c>
    </row>
    <row r="13" customFormat="false" ht="27.75" hidden="false" customHeight="true" outlineLevel="0" collapsed="false">
      <c r="A13" s="84" t="n">
        <v>9</v>
      </c>
      <c r="B13" s="8" t="s">
        <v>23</v>
      </c>
      <c r="C13" s="8" t="s">
        <v>457</v>
      </c>
      <c r="D13" s="8" t="s">
        <v>458</v>
      </c>
      <c r="E13" s="8" t="s">
        <v>459</v>
      </c>
      <c r="F13" s="18" t="n">
        <v>1130</v>
      </c>
      <c r="G13" s="86" t="s">
        <v>460</v>
      </c>
      <c r="H13" s="8" t="s">
        <v>461</v>
      </c>
    </row>
    <row r="14" customFormat="false" ht="15" hidden="false" customHeight="true" outlineLevel="0" collapsed="false">
      <c r="A14" s="84" t="n">
        <v>10</v>
      </c>
      <c r="B14" s="8" t="s">
        <v>16</v>
      </c>
      <c r="C14" s="8" t="s">
        <v>462</v>
      </c>
      <c r="D14" s="8" t="s">
        <v>463</v>
      </c>
      <c r="E14" s="8" t="s">
        <v>464</v>
      </c>
      <c r="F14" s="18" t="n">
        <v>5000</v>
      </c>
      <c r="G14" s="86" t="s">
        <v>465</v>
      </c>
      <c r="H14" s="8" t="s">
        <v>466</v>
      </c>
    </row>
    <row r="15" customFormat="false" ht="15" hidden="false" customHeight="true" outlineLevel="0" collapsed="false">
      <c r="A15" s="84" t="n">
        <v>11</v>
      </c>
      <c r="B15" s="8" t="s">
        <v>16</v>
      </c>
      <c r="C15" s="8" t="s">
        <v>467</v>
      </c>
      <c r="D15" s="8" t="s">
        <v>468</v>
      </c>
      <c r="E15" s="8" t="s">
        <v>469</v>
      </c>
      <c r="F15" s="18" t="n">
        <v>0</v>
      </c>
      <c r="G15" s="85" t="s">
        <v>430</v>
      </c>
      <c r="H15" s="8" t="s">
        <v>470</v>
      </c>
    </row>
    <row r="16" customFormat="false" ht="15" hidden="false" customHeight="true" outlineLevel="0" collapsed="false">
      <c r="A16" s="84" t="n">
        <v>11</v>
      </c>
      <c r="B16" s="8" t="s">
        <v>26</v>
      </c>
      <c r="C16" s="8" t="s">
        <v>471</v>
      </c>
      <c r="D16" s="8" t="s">
        <v>27</v>
      </c>
      <c r="E16" s="8" t="s">
        <v>472</v>
      </c>
      <c r="F16" s="19" t="n">
        <v>1360</v>
      </c>
      <c r="G16" s="86" t="s">
        <v>473</v>
      </c>
      <c r="H16" s="8" t="s">
        <v>474</v>
      </c>
    </row>
    <row r="17" customFormat="false" ht="15" hidden="false" customHeight="true" outlineLevel="0" collapsed="false">
      <c r="A17" s="84" t="n">
        <v>9</v>
      </c>
      <c r="B17" s="8" t="s">
        <v>29</v>
      </c>
      <c r="C17" s="8" t="s">
        <v>475</v>
      </c>
      <c r="D17" s="84" t="s">
        <v>14</v>
      </c>
      <c r="E17" s="8" t="s">
        <v>476</v>
      </c>
      <c r="F17" s="19" t="n">
        <v>2100</v>
      </c>
      <c r="G17" s="84" t="s">
        <v>477</v>
      </c>
      <c r="H17" s="8" t="s">
        <v>478</v>
      </c>
    </row>
    <row r="18" customFormat="false" ht="15" hidden="false" customHeight="true" outlineLevel="0" collapsed="false">
      <c r="A18" s="84" t="n">
        <v>12</v>
      </c>
      <c r="B18" s="8" t="s">
        <v>16</v>
      </c>
      <c r="C18" s="8" t="s">
        <v>479</v>
      </c>
      <c r="D18" s="84" t="s">
        <v>11</v>
      </c>
      <c r="E18" s="8" t="s">
        <v>480</v>
      </c>
      <c r="F18" s="19" t="n">
        <v>0</v>
      </c>
      <c r="G18" s="84" t="s">
        <v>430</v>
      </c>
      <c r="H18" s="8" t="s">
        <v>481</v>
      </c>
    </row>
    <row r="19" customFormat="false" ht="15" hidden="false" customHeight="true" outlineLevel="0" collapsed="false">
      <c r="A19" s="84" t="n">
        <v>13</v>
      </c>
      <c r="B19" s="8" t="s">
        <v>16</v>
      </c>
      <c r="C19" s="8" t="s">
        <v>482</v>
      </c>
      <c r="D19" s="84" t="s">
        <v>483</v>
      </c>
      <c r="E19" s="8" t="s">
        <v>484</v>
      </c>
      <c r="F19" s="19" t="n">
        <v>0</v>
      </c>
      <c r="G19" s="84" t="s">
        <v>430</v>
      </c>
      <c r="H19" s="8" t="s">
        <v>485</v>
      </c>
    </row>
    <row r="20" customFormat="false" ht="15" hidden="false" customHeight="true" outlineLevel="0" collapsed="false">
      <c r="A20" s="84" t="n">
        <v>14</v>
      </c>
      <c r="B20" s="8" t="s">
        <v>16</v>
      </c>
      <c r="C20" s="8" t="s">
        <v>486</v>
      </c>
      <c r="D20" s="84" t="s">
        <v>483</v>
      </c>
      <c r="E20" s="8" t="s">
        <v>487</v>
      </c>
      <c r="F20" s="19" t="n">
        <v>0</v>
      </c>
      <c r="G20" s="84" t="s">
        <v>430</v>
      </c>
      <c r="H20" s="8" t="s">
        <v>488</v>
      </c>
    </row>
    <row r="21" customFormat="false" ht="15" hidden="false" customHeight="true" outlineLevel="0" collapsed="false">
      <c r="A21" s="84" t="n">
        <v>15</v>
      </c>
      <c r="B21" s="8" t="s">
        <v>16</v>
      </c>
      <c r="C21" s="8" t="s">
        <v>489</v>
      </c>
      <c r="D21" s="84" t="s">
        <v>483</v>
      </c>
      <c r="E21" s="8" t="s">
        <v>490</v>
      </c>
      <c r="F21" s="19" t="n">
        <v>0</v>
      </c>
      <c r="G21" s="84" t="s">
        <v>430</v>
      </c>
      <c r="H21" s="8" t="s">
        <v>491</v>
      </c>
    </row>
    <row r="22" customFormat="false" ht="15" hidden="false" customHeight="true" outlineLevel="0" collapsed="false">
      <c r="A22" s="84" t="n">
        <v>16</v>
      </c>
      <c r="B22" s="8" t="s">
        <v>16</v>
      </c>
      <c r="C22" s="8" t="s">
        <v>492</v>
      </c>
      <c r="D22" s="84" t="s">
        <v>483</v>
      </c>
      <c r="E22" s="8" t="s">
        <v>493</v>
      </c>
      <c r="F22" s="19" t="n">
        <v>0</v>
      </c>
      <c r="G22" s="84" t="s">
        <v>430</v>
      </c>
      <c r="H22" s="8" t="s">
        <v>494</v>
      </c>
    </row>
    <row r="23" customFormat="false" ht="27.75" hidden="false" customHeight="true" outlineLevel="0" collapsed="false">
      <c r="A23" s="84" t="n">
        <v>17</v>
      </c>
      <c r="B23" s="8" t="s">
        <v>16</v>
      </c>
      <c r="C23" s="8" t="s">
        <v>495</v>
      </c>
      <c r="D23" s="84" t="s">
        <v>483</v>
      </c>
      <c r="E23" s="8" t="s">
        <v>496</v>
      </c>
      <c r="F23" s="19" t="n">
        <v>0</v>
      </c>
      <c r="G23" s="84" t="s">
        <v>430</v>
      </c>
      <c r="H23" s="8" t="s">
        <v>497</v>
      </c>
    </row>
    <row r="24" customFormat="false" ht="27.75" hidden="false" customHeight="true" outlineLevel="0" collapsed="false">
      <c r="A24" s="84" t="n">
        <v>18</v>
      </c>
      <c r="B24" s="8" t="s">
        <v>16</v>
      </c>
      <c r="C24" s="8" t="s">
        <v>498</v>
      </c>
      <c r="D24" s="84" t="s">
        <v>483</v>
      </c>
      <c r="E24" s="8" t="s">
        <v>499</v>
      </c>
      <c r="F24" s="19" t="n">
        <v>0</v>
      </c>
      <c r="G24" s="84" t="s">
        <v>430</v>
      </c>
      <c r="H24" s="8" t="s">
        <v>500</v>
      </c>
    </row>
    <row r="25" customFormat="false" ht="27.75" hidden="false" customHeight="true" outlineLevel="0" collapsed="false">
      <c r="A25" s="84" t="n">
        <v>19</v>
      </c>
      <c r="B25" s="8" t="s">
        <v>16</v>
      </c>
      <c r="C25" s="8" t="s">
        <v>501</v>
      </c>
      <c r="D25" s="84" t="s">
        <v>14</v>
      </c>
      <c r="E25" s="8" t="s">
        <v>502</v>
      </c>
      <c r="F25" s="19" t="n">
        <v>0</v>
      </c>
      <c r="G25" s="84" t="s">
        <v>430</v>
      </c>
      <c r="H25" s="8" t="s">
        <v>503</v>
      </c>
    </row>
    <row r="26" customFormat="false" ht="27.75" hidden="false" customHeight="true" outlineLevel="0" collapsed="false">
      <c r="A26" s="84" t="n">
        <v>20</v>
      </c>
      <c r="B26" s="8" t="s">
        <v>16</v>
      </c>
      <c r="C26" s="8" t="s">
        <v>504</v>
      </c>
      <c r="D26" s="84" t="s">
        <v>14</v>
      </c>
      <c r="E26" s="8" t="s">
        <v>502</v>
      </c>
      <c r="F26" s="19" t="n">
        <v>0</v>
      </c>
      <c r="G26" s="84" t="s">
        <v>430</v>
      </c>
      <c r="H26" s="8" t="s">
        <v>505</v>
      </c>
    </row>
    <row r="27" customFormat="false" ht="27.75" hidden="false" customHeight="true" outlineLevel="0" collapsed="false">
      <c r="A27" s="84" t="n">
        <v>21</v>
      </c>
      <c r="B27" s="8" t="s">
        <v>16</v>
      </c>
      <c r="C27" s="8" t="s">
        <v>506</v>
      </c>
      <c r="D27" s="84" t="s">
        <v>507</v>
      </c>
      <c r="E27" s="8" t="s">
        <v>508</v>
      </c>
      <c r="F27" s="19" t="n">
        <v>0</v>
      </c>
      <c r="G27" s="84" t="s">
        <v>430</v>
      </c>
      <c r="H27" s="8" t="s">
        <v>509</v>
      </c>
    </row>
    <row r="28" customFormat="false" ht="27.75" hidden="false" customHeight="true" outlineLevel="0" collapsed="false">
      <c r="A28" s="84" t="n">
        <v>22</v>
      </c>
      <c r="B28" s="8" t="s">
        <v>16</v>
      </c>
      <c r="C28" s="8" t="s">
        <v>510</v>
      </c>
      <c r="D28" s="84" t="s">
        <v>368</v>
      </c>
      <c r="E28" s="8" t="s">
        <v>511</v>
      </c>
      <c r="F28" s="19" t="n">
        <v>0</v>
      </c>
      <c r="G28" s="84" t="s">
        <v>430</v>
      </c>
      <c r="H28" s="8" t="s">
        <v>512</v>
      </c>
    </row>
    <row r="29" customFormat="false" ht="27.75" hidden="false" customHeight="true" outlineLevel="0" collapsed="false">
      <c r="A29" s="84" t="n">
        <v>23</v>
      </c>
      <c r="B29" s="8" t="s">
        <v>16</v>
      </c>
      <c r="C29" s="8" t="s">
        <v>513</v>
      </c>
      <c r="D29" s="84" t="s">
        <v>14</v>
      </c>
      <c r="E29" s="8" t="s">
        <v>514</v>
      </c>
      <c r="F29" s="19" t="n">
        <v>0</v>
      </c>
      <c r="G29" s="84" t="s">
        <v>430</v>
      </c>
      <c r="H29" s="8" t="s">
        <v>515</v>
      </c>
    </row>
    <row r="30" customFormat="false" ht="27.75" hidden="false" customHeight="true" outlineLevel="0" collapsed="false">
      <c r="A30" s="84" t="n">
        <v>24</v>
      </c>
      <c r="B30" s="8" t="s">
        <v>16</v>
      </c>
      <c r="C30" s="8" t="s">
        <v>516</v>
      </c>
      <c r="D30" s="84" t="s">
        <v>14</v>
      </c>
      <c r="E30" s="8" t="s">
        <v>514</v>
      </c>
      <c r="F30" s="19" t="n">
        <v>0</v>
      </c>
      <c r="G30" s="84" t="s">
        <v>430</v>
      </c>
      <c r="H30" s="8" t="s">
        <v>517</v>
      </c>
    </row>
    <row r="31" customFormat="false" ht="27.75" hidden="false" customHeight="true" outlineLevel="0" collapsed="false">
      <c r="A31" s="84" t="n">
        <v>25</v>
      </c>
      <c r="B31" s="8" t="s">
        <v>16</v>
      </c>
      <c r="C31" s="8" t="s">
        <v>518</v>
      </c>
      <c r="D31" s="84" t="s">
        <v>519</v>
      </c>
      <c r="E31" s="8" t="s">
        <v>520</v>
      </c>
      <c r="F31" s="19" t="n">
        <v>0</v>
      </c>
      <c r="G31" s="84" t="s">
        <v>430</v>
      </c>
      <c r="H31" s="8" t="s">
        <v>521</v>
      </c>
    </row>
    <row r="32" customFormat="false" ht="27.75" hidden="false" customHeight="true" outlineLevel="0" collapsed="false">
      <c r="A32" s="84" t="n">
        <v>26</v>
      </c>
      <c r="B32" s="8" t="s">
        <v>16</v>
      </c>
      <c r="C32" s="8" t="s">
        <v>522</v>
      </c>
      <c r="D32" s="84" t="s">
        <v>11</v>
      </c>
      <c r="E32" s="8" t="s">
        <v>523</v>
      </c>
      <c r="F32" s="19" t="n">
        <v>0</v>
      </c>
      <c r="G32" s="84" t="s">
        <v>430</v>
      </c>
      <c r="H32" s="8" t="s">
        <v>524</v>
      </c>
    </row>
    <row r="33" customFormat="false" ht="15" hidden="false" customHeight="true" outlineLevel="0" collapsed="false">
      <c r="A33" s="84"/>
      <c r="B33" s="84"/>
      <c r="C33" s="84"/>
      <c r="D33" s="84"/>
      <c r="E33" s="7" t="s">
        <v>525</v>
      </c>
      <c r="F33" s="88" t="n">
        <f aca="false">SUM(F5:F32)</f>
        <v>69428.99</v>
      </c>
      <c r="G33" s="84"/>
      <c r="H33" s="84"/>
    </row>
    <row r="34" customFormat="false" ht="15" hidden="false" customHeight="true" outlineLevel="0" collapsed="false">
      <c r="A34" s="89"/>
      <c r="B34" s="89"/>
      <c r="C34" s="89"/>
      <c r="D34" s="89"/>
      <c r="E34" s="90" t="s">
        <v>526</v>
      </c>
      <c r="F34" s="91" t="n">
        <f aca="false">Summary!$C$15</f>
        <v>69428.99</v>
      </c>
      <c r="G34" s="89"/>
      <c r="H34" s="89"/>
    </row>
    <row r="35" customFormat="false" ht="15" hidden="false" customHeight="true" outlineLevel="0" collapsed="false">
      <c r="A35" s="89"/>
      <c r="B35" s="89"/>
      <c r="C35" s="89"/>
      <c r="D35" s="89"/>
      <c r="E35" s="90" t="s">
        <v>527</v>
      </c>
      <c r="F35" s="91" t="n">
        <f aca="false">F33-F34</f>
        <v>0</v>
      </c>
      <c r="G35" s="89"/>
      <c r="H35" s="89"/>
    </row>
    <row r="36" customFormat="false" ht="15" hidden="false" customHeight="true" outlineLevel="0" collapsed="false">
      <c r="A36" s="89"/>
      <c r="B36" s="89"/>
      <c r="C36" s="89"/>
      <c r="D36" s="89"/>
      <c r="E36" s="89"/>
      <c r="F36" s="89"/>
      <c r="G36" s="89"/>
      <c r="H36" s="89"/>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6B7280"/>
    <pageSetUpPr fitToPage="false"/>
  </sheetPr>
  <dimension ref="A1:L6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3"/>
    <col collapsed="false" customWidth="true" hidden="false" outlineLevel="0" max="3" min="2" style="1" width="24"/>
    <col collapsed="false" customWidth="true" hidden="false" outlineLevel="0" max="4" min="4" style="1" width="16"/>
    <col collapsed="false" customWidth="true" hidden="false" outlineLevel="0" max="5" min="5" style="1" width="42"/>
    <col collapsed="false" customWidth="true" hidden="false" outlineLevel="0" max="6" min="6" style="1" width="16"/>
    <col collapsed="false" customWidth="true" hidden="false" outlineLevel="0" max="8" min="7" style="1" width="12"/>
    <col collapsed="false" customWidth="true" hidden="false" outlineLevel="0" max="9" min="9" style="1" width="30"/>
    <col collapsed="false" customWidth="true" hidden="false" outlineLevel="0" max="10" min="10" style="1" width="28"/>
    <col collapsed="false" customWidth="true" hidden="false" outlineLevel="0" max="11" min="11" style="1" width="60"/>
    <col collapsed="false" customWidth="true" hidden="false" outlineLevel="0" max="12" min="12" style="1" width="16"/>
  </cols>
  <sheetData>
    <row r="1" customFormat="false" ht="19.5" hidden="false" customHeight="true" outlineLevel="0" collapsed="false">
      <c r="A1" s="2" t="s">
        <v>528</v>
      </c>
    </row>
    <row r="2" customFormat="false" ht="15" hidden="false" customHeight="true" outlineLevel="0" collapsed="false">
      <c r="A2" s="5" t="s">
        <v>529</v>
      </c>
    </row>
    <row r="4" customFormat="false" ht="15" hidden="false" customHeight="true" outlineLevel="0" collapsed="false">
      <c r="A4" s="6" t="s">
        <v>266</v>
      </c>
      <c r="B4" s="6" t="s">
        <v>3</v>
      </c>
      <c r="C4" s="6" t="s">
        <v>4</v>
      </c>
      <c r="D4" s="6" t="s">
        <v>530</v>
      </c>
      <c r="E4" s="6" t="s">
        <v>531</v>
      </c>
      <c r="F4" s="6" t="s">
        <v>532</v>
      </c>
      <c r="G4" s="6" t="s">
        <v>533</v>
      </c>
      <c r="H4" s="6" t="s">
        <v>534</v>
      </c>
      <c r="I4" s="6" t="s">
        <v>9</v>
      </c>
      <c r="J4" s="6" t="s">
        <v>272</v>
      </c>
      <c r="K4" s="6" t="s">
        <v>535</v>
      </c>
      <c r="L4" s="6" t="s">
        <v>265</v>
      </c>
    </row>
    <row r="5" customFormat="false" ht="27.75" hidden="false" customHeight="true" outlineLevel="0" collapsed="false">
      <c r="A5" s="92" t="n">
        <v>46212</v>
      </c>
      <c r="B5" s="8" t="s">
        <v>10</v>
      </c>
      <c r="C5" s="8" t="s">
        <v>11</v>
      </c>
      <c r="D5" s="8" t="s">
        <v>536</v>
      </c>
      <c r="E5" s="8" t="s">
        <v>537</v>
      </c>
      <c r="F5" s="18" t="n">
        <v>32228.99</v>
      </c>
      <c r="G5" s="92" t="n">
        <v>46212</v>
      </c>
      <c r="H5" s="84" t="s">
        <v>538</v>
      </c>
      <c r="I5" s="8" t="s">
        <v>539</v>
      </c>
      <c r="J5" s="8" t="s">
        <v>285</v>
      </c>
      <c r="K5" s="8" t="s">
        <v>540</v>
      </c>
    </row>
    <row r="6" customFormat="false" ht="15" hidden="false" customHeight="true" outlineLevel="0" collapsed="false">
      <c r="A6" s="92" t="n">
        <v>46223</v>
      </c>
      <c r="B6" s="8" t="s">
        <v>23</v>
      </c>
      <c r="C6" s="8" t="s">
        <v>541</v>
      </c>
      <c r="D6" s="8" t="s">
        <v>542</v>
      </c>
      <c r="E6" s="8" t="s">
        <v>543</v>
      </c>
      <c r="F6" s="18" t="n">
        <v>311.98</v>
      </c>
      <c r="G6" s="92" t="n">
        <v>46223</v>
      </c>
      <c r="H6" s="84" t="s">
        <v>544</v>
      </c>
      <c r="I6" s="8" t="s">
        <v>545</v>
      </c>
      <c r="J6" s="8" t="s">
        <v>292</v>
      </c>
      <c r="K6" s="8" t="s">
        <v>546</v>
      </c>
    </row>
    <row r="7" customFormat="false" ht="15" hidden="false" customHeight="true" outlineLevel="0" collapsed="false">
      <c r="A7" s="92" t="n">
        <v>46223</v>
      </c>
      <c r="B7" s="8" t="s">
        <v>19</v>
      </c>
      <c r="C7" s="8" t="s">
        <v>541</v>
      </c>
      <c r="D7" s="8" t="s">
        <v>542</v>
      </c>
      <c r="E7" s="8" t="s">
        <v>547</v>
      </c>
      <c r="F7" s="18" t="n">
        <v>111.71</v>
      </c>
      <c r="G7" s="92" t="n">
        <v>46223</v>
      </c>
      <c r="H7" s="84" t="s">
        <v>544</v>
      </c>
      <c r="I7" s="8" t="s">
        <v>548</v>
      </c>
      <c r="J7" s="8" t="s">
        <v>292</v>
      </c>
      <c r="K7" s="8" t="s">
        <v>546</v>
      </c>
    </row>
    <row r="8" customFormat="false" ht="15" hidden="false" customHeight="true" outlineLevel="0" collapsed="false">
      <c r="A8" s="92" t="n">
        <v>46223</v>
      </c>
      <c r="B8" s="8" t="s">
        <v>19</v>
      </c>
      <c r="C8" s="8" t="s">
        <v>433</v>
      </c>
      <c r="D8" s="8" t="s">
        <v>549</v>
      </c>
      <c r="E8" s="8" t="s">
        <v>550</v>
      </c>
      <c r="F8" s="18" t="n">
        <v>937.5</v>
      </c>
      <c r="G8" s="92" t="n">
        <v>46223</v>
      </c>
      <c r="H8" s="84" t="s">
        <v>549</v>
      </c>
      <c r="I8" s="8" t="s">
        <v>551</v>
      </c>
      <c r="J8" s="8" t="s">
        <v>292</v>
      </c>
      <c r="K8" s="8" t="s">
        <v>546</v>
      </c>
    </row>
    <row r="9" customFormat="false" ht="15" hidden="false" customHeight="true" outlineLevel="0" collapsed="false">
      <c r="A9" s="92" t="n">
        <v>46227</v>
      </c>
      <c r="B9" s="8" t="s">
        <v>19</v>
      </c>
      <c r="C9" s="8" t="s">
        <v>14</v>
      </c>
      <c r="D9" s="8" t="s">
        <v>552</v>
      </c>
      <c r="E9" s="8" t="s">
        <v>553</v>
      </c>
      <c r="F9" s="18" t="n">
        <v>3088.3</v>
      </c>
      <c r="G9" s="92" t="n">
        <v>46227</v>
      </c>
      <c r="H9" s="84" t="s">
        <v>554</v>
      </c>
      <c r="I9" s="8" t="s">
        <v>555</v>
      </c>
      <c r="J9" s="8" t="s">
        <v>292</v>
      </c>
      <c r="K9" s="8" t="s">
        <v>546</v>
      </c>
    </row>
    <row r="10" customFormat="false" ht="15" hidden="false" customHeight="true" outlineLevel="0" collapsed="false">
      <c r="A10" s="92" t="n">
        <v>46225</v>
      </c>
      <c r="B10" s="8" t="s">
        <v>23</v>
      </c>
      <c r="C10" s="8" t="s">
        <v>556</v>
      </c>
      <c r="D10" s="8" t="s">
        <v>557</v>
      </c>
      <c r="E10" s="8" t="s">
        <v>558</v>
      </c>
      <c r="F10" s="18" t="n">
        <v>162.96</v>
      </c>
      <c r="G10" s="92" t="n">
        <v>46225</v>
      </c>
      <c r="H10" s="84" t="s">
        <v>544</v>
      </c>
      <c r="I10" s="8" t="s">
        <v>559</v>
      </c>
      <c r="J10" s="8" t="s">
        <v>292</v>
      </c>
      <c r="K10" s="8" t="s">
        <v>546</v>
      </c>
    </row>
    <row r="11" customFormat="false" ht="15" hidden="false" customHeight="true" outlineLevel="0" collapsed="false">
      <c r="A11" s="92" t="n">
        <v>46238</v>
      </c>
      <c r="B11" s="8" t="s">
        <v>23</v>
      </c>
      <c r="C11" s="8" t="s">
        <v>541</v>
      </c>
      <c r="D11" s="8" t="s">
        <v>560</v>
      </c>
      <c r="E11" s="8" t="s">
        <v>561</v>
      </c>
      <c r="F11" s="18" t="n">
        <v>148.53</v>
      </c>
      <c r="G11" s="92" t="n">
        <v>46238</v>
      </c>
      <c r="H11" s="84" t="s">
        <v>544</v>
      </c>
      <c r="I11" s="8" t="s">
        <v>562</v>
      </c>
      <c r="J11" s="8" t="s">
        <v>292</v>
      </c>
      <c r="K11" s="8" t="s">
        <v>546</v>
      </c>
    </row>
    <row r="12" customFormat="false" ht="15" hidden="false" customHeight="true" outlineLevel="0" collapsed="false">
      <c r="A12" s="92" t="n">
        <v>46241</v>
      </c>
      <c r="B12" s="8" t="s">
        <v>21</v>
      </c>
      <c r="C12" s="8" t="s">
        <v>14</v>
      </c>
      <c r="D12" s="8" t="s">
        <v>549</v>
      </c>
      <c r="E12" s="8" t="s">
        <v>563</v>
      </c>
      <c r="F12" s="18" t="n">
        <v>1710</v>
      </c>
      <c r="G12" s="92" t="n">
        <v>46241</v>
      </c>
      <c r="H12" s="84" t="s">
        <v>549</v>
      </c>
      <c r="I12" s="8" t="s">
        <v>564</v>
      </c>
      <c r="J12" s="8" t="s">
        <v>292</v>
      </c>
      <c r="K12" s="8" t="s">
        <v>546</v>
      </c>
    </row>
    <row r="13" customFormat="false" ht="15" hidden="false" customHeight="true" outlineLevel="0" collapsed="false">
      <c r="A13" s="92" t="n">
        <v>46244</v>
      </c>
      <c r="B13" s="8" t="s">
        <v>16</v>
      </c>
      <c r="C13" s="8" t="s">
        <v>565</v>
      </c>
      <c r="D13" s="8" t="s">
        <v>566</v>
      </c>
      <c r="E13" s="8" t="s">
        <v>567</v>
      </c>
      <c r="F13" s="18" t="n">
        <v>62.9</v>
      </c>
      <c r="G13" s="92" t="n">
        <v>46244</v>
      </c>
      <c r="H13" s="84" t="s">
        <v>568</v>
      </c>
      <c r="I13" s="8" t="s">
        <v>569</v>
      </c>
      <c r="J13" s="8" t="s">
        <v>292</v>
      </c>
      <c r="K13" s="8" t="s">
        <v>570</v>
      </c>
      <c r="L13" s="93" t="n">
        <v>7</v>
      </c>
    </row>
    <row r="14" customFormat="false" ht="15" hidden="false" customHeight="true" outlineLevel="0" collapsed="false">
      <c r="A14" s="92" t="n">
        <v>46244</v>
      </c>
      <c r="B14" s="8" t="s">
        <v>26</v>
      </c>
      <c r="C14" s="8" t="s">
        <v>571</v>
      </c>
      <c r="D14" s="8" t="s">
        <v>572</v>
      </c>
      <c r="E14" s="8" t="s">
        <v>573</v>
      </c>
      <c r="F14" s="18" t="n">
        <v>344.16</v>
      </c>
      <c r="G14" s="92" t="n">
        <v>46244</v>
      </c>
      <c r="H14" s="84" t="s">
        <v>568</v>
      </c>
      <c r="I14" s="8" t="s">
        <v>574</v>
      </c>
      <c r="J14" s="8" t="s">
        <v>333</v>
      </c>
      <c r="K14" s="8" t="s">
        <v>575</v>
      </c>
    </row>
    <row r="15" customFormat="false" ht="15" hidden="false" customHeight="true" outlineLevel="0" collapsed="false">
      <c r="A15" s="94" t="n">
        <v>46245</v>
      </c>
      <c r="B15" s="95" t="s">
        <v>26</v>
      </c>
      <c r="C15" s="95" t="s">
        <v>571</v>
      </c>
      <c r="D15" s="95" t="s">
        <v>576</v>
      </c>
      <c r="E15" s="96" t="s">
        <v>577</v>
      </c>
      <c r="F15" s="97" t="n">
        <v>-344.16</v>
      </c>
      <c r="G15" s="94" t="n">
        <v>46247</v>
      </c>
      <c r="H15" s="95" t="s">
        <v>17</v>
      </c>
      <c r="I15" s="96" t="s">
        <v>578</v>
      </c>
      <c r="J15" s="96" t="s">
        <v>333</v>
      </c>
      <c r="K15" s="96" t="s">
        <v>575</v>
      </c>
    </row>
    <row r="16" customFormat="false" ht="15" hidden="false" customHeight="true" outlineLevel="0" collapsed="false">
      <c r="A16" s="94" t="n">
        <v>46245</v>
      </c>
      <c r="B16" s="95" t="s">
        <v>26</v>
      </c>
      <c r="C16" s="95" t="s">
        <v>579</v>
      </c>
      <c r="D16" s="95" t="s">
        <v>580</v>
      </c>
      <c r="E16" s="96" t="s">
        <v>581</v>
      </c>
      <c r="F16" s="97" t="n">
        <v>390</v>
      </c>
      <c r="G16" s="94" t="n">
        <v>46246</v>
      </c>
      <c r="H16" s="95" t="s">
        <v>582</v>
      </c>
      <c r="I16" s="96" t="s">
        <v>583</v>
      </c>
      <c r="J16" s="96" t="s">
        <v>333</v>
      </c>
      <c r="K16" s="96" t="s">
        <v>575</v>
      </c>
    </row>
    <row r="17" customFormat="false" ht="15" hidden="false" customHeight="true" outlineLevel="0" collapsed="false">
      <c r="A17" s="94" t="n">
        <v>46246</v>
      </c>
      <c r="B17" s="95" t="s">
        <v>26</v>
      </c>
      <c r="C17" s="95" t="s">
        <v>579</v>
      </c>
      <c r="D17" s="95" t="s">
        <v>584</v>
      </c>
      <c r="E17" s="96" t="s">
        <v>585</v>
      </c>
      <c r="F17" s="97" t="n">
        <v>390</v>
      </c>
      <c r="G17" s="94" t="n">
        <v>46246</v>
      </c>
      <c r="H17" s="95" t="s">
        <v>582</v>
      </c>
      <c r="I17" s="96" t="s">
        <v>586</v>
      </c>
      <c r="J17" s="96" t="s">
        <v>333</v>
      </c>
      <c r="K17" s="96" t="s">
        <v>575</v>
      </c>
    </row>
    <row r="18" customFormat="false" ht="15" hidden="false" customHeight="true" outlineLevel="0" collapsed="false">
      <c r="A18" s="94" t="n">
        <v>46247</v>
      </c>
      <c r="B18" s="95" t="s">
        <v>21</v>
      </c>
      <c r="C18" s="95" t="s">
        <v>14</v>
      </c>
      <c r="D18" s="95" t="s">
        <v>587</v>
      </c>
      <c r="E18" s="96" t="s">
        <v>588</v>
      </c>
      <c r="F18" s="97" t="n">
        <v>1900</v>
      </c>
      <c r="G18" s="94" t="n">
        <v>46248</v>
      </c>
      <c r="H18" s="95" t="s">
        <v>554</v>
      </c>
      <c r="I18" s="96" t="s">
        <v>589</v>
      </c>
      <c r="J18" s="96" t="s">
        <v>292</v>
      </c>
      <c r="K18" s="96" t="s">
        <v>546</v>
      </c>
    </row>
    <row r="19" customFormat="false" ht="15" hidden="false" customHeight="true" outlineLevel="0" collapsed="false">
      <c r="A19" s="94" t="n">
        <v>46247</v>
      </c>
      <c r="B19" s="95" t="s">
        <v>16</v>
      </c>
      <c r="C19" s="95" t="s">
        <v>14</v>
      </c>
      <c r="D19" s="95" t="s">
        <v>587</v>
      </c>
      <c r="E19" s="96" t="s">
        <v>590</v>
      </c>
      <c r="F19" s="97" t="n">
        <v>250</v>
      </c>
      <c r="G19" s="94" t="n">
        <v>46248</v>
      </c>
      <c r="H19" s="95" t="s">
        <v>554</v>
      </c>
      <c r="I19" s="96" t="s">
        <v>591</v>
      </c>
      <c r="J19" s="96" t="s">
        <v>292</v>
      </c>
      <c r="K19" s="96" t="s">
        <v>592</v>
      </c>
      <c r="L19" s="93" t="n">
        <v>6</v>
      </c>
    </row>
    <row r="20" customFormat="false" ht="15" hidden="false" customHeight="true" outlineLevel="0" collapsed="false">
      <c r="A20" s="94" t="n">
        <v>46250</v>
      </c>
      <c r="B20" s="95" t="s">
        <v>23</v>
      </c>
      <c r="C20" s="95" t="s">
        <v>593</v>
      </c>
      <c r="D20" s="95" t="s">
        <v>594</v>
      </c>
      <c r="E20" s="96" t="s">
        <v>595</v>
      </c>
      <c r="F20" s="97" t="n">
        <v>47.99</v>
      </c>
      <c r="G20" s="94" t="n">
        <v>46250</v>
      </c>
      <c r="H20" s="95" t="s">
        <v>596</v>
      </c>
      <c r="I20" s="96" t="s">
        <v>597</v>
      </c>
      <c r="J20" s="96" t="s">
        <v>292</v>
      </c>
      <c r="K20" s="96" t="s">
        <v>546</v>
      </c>
    </row>
    <row r="21" customFormat="false" ht="15" hidden="false" customHeight="true" outlineLevel="0" collapsed="false">
      <c r="A21" s="94" t="n">
        <v>46251</v>
      </c>
      <c r="B21" s="95" t="s">
        <v>23</v>
      </c>
      <c r="C21" s="95" t="s">
        <v>598</v>
      </c>
      <c r="D21" s="95" t="s">
        <v>599</v>
      </c>
      <c r="E21" s="96" t="s">
        <v>600</v>
      </c>
      <c r="F21" s="97" t="n">
        <v>481.28</v>
      </c>
      <c r="G21" s="94" t="n">
        <v>46252</v>
      </c>
      <c r="H21" s="95" t="s">
        <v>554</v>
      </c>
      <c r="I21" s="96" t="s">
        <v>601</v>
      </c>
      <c r="J21" s="96" t="s">
        <v>292</v>
      </c>
      <c r="K21" s="96" t="s">
        <v>546</v>
      </c>
    </row>
    <row r="22" customFormat="false" ht="15" hidden="false" customHeight="true" outlineLevel="0" collapsed="false">
      <c r="A22" s="94" t="n">
        <v>46253</v>
      </c>
      <c r="B22" s="95" t="s">
        <v>23</v>
      </c>
      <c r="C22" s="95" t="s">
        <v>541</v>
      </c>
      <c r="D22" s="95" t="s">
        <v>602</v>
      </c>
      <c r="E22" s="96" t="s">
        <v>603</v>
      </c>
      <c r="F22" s="97" t="n">
        <v>-72.23</v>
      </c>
      <c r="G22" s="94" t="n">
        <v>46253</v>
      </c>
      <c r="H22" s="95" t="s">
        <v>554</v>
      </c>
      <c r="I22" s="96" t="s">
        <v>604</v>
      </c>
      <c r="J22" s="96" t="s">
        <v>292</v>
      </c>
      <c r="K22" s="96" t="s">
        <v>546</v>
      </c>
    </row>
    <row r="23" customFormat="false" ht="15" hidden="false" customHeight="true" outlineLevel="0" collapsed="false">
      <c r="A23" s="94" t="n">
        <v>46251</v>
      </c>
      <c r="B23" s="95" t="s">
        <v>16</v>
      </c>
      <c r="C23" s="95" t="s">
        <v>598</v>
      </c>
      <c r="D23" s="95" t="s">
        <v>605</v>
      </c>
      <c r="E23" s="96" t="s">
        <v>606</v>
      </c>
      <c r="F23" s="97" t="n">
        <v>26.42</v>
      </c>
      <c r="G23" s="94" t="n">
        <v>46252</v>
      </c>
      <c r="H23" s="95" t="s">
        <v>554</v>
      </c>
      <c r="I23" s="96" t="s">
        <v>607</v>
      </c>
      <c r="J23" s="96" t="s">
        <v>292</v>
      </c>
      <c r="K23" s="96" t="s">
        <v>608</v>
      </c>
      <c r="L23" s="93" t="n">
        <v>6</v>
      </c>
    </row>
    <row r="24" customFormat="false" ht="15" hidden="false" customHeight="true" outlineLevel="0" collapsed="false">
      <c r="A24" s="94" t="n">
        <v>46244</v>
      </c>
      <c r="B24" s="95" t="s">
        <v>23</v>
      </c>
      <c r="C24" s="95" t="s">
        <v>598</v>
      </c>
      <c r="D24" s="95" t="s">
        <v>609</v>
      </c>
      <c r="E24" s="96" t="s">
        <v>610</v>
      </c>
      <c r="F24" s="97" t="n">
        <v>40.18</v>
      </c>
      <c r="G24" s="94" t="n">
        <v>46252</v>
      </c>
      <c r="H24" s="95" t="s">
        <v>554</v>
      </c>
      <c r="I24" s="96" t="s">
        <v>611</v>
      </c>
      <c r="J24" s="96" t="s">
        <v>292</v>
      </c>
      <c r="K24" s="96" t="s">
        <v>546</v>
      </c>
    </row>
    <row r="25" customFormat="false" ht="15" hidden="false" customHeight="true" outlineLevel="0" collapsed="false">
      <c r="A25" s="94" t="n">
        <v>46252</v>
      </c>
      <c r="B25" s="95" t="s">
        <v>13</v>
      </c>
      <c r="C25" s="95" t="s">
        <v>14</v>
      </c>
      <c r="D25" s="95" t="s">
        <v>612</v>
      </c>
      <c r="E25" s="96" t="s">
        <v>613</v>
      </c>
      <c r="F25" s="97" t="n">
        <v>4400</v>
      </c>
      <c r="G25" s="94" t="n">
        <v>46254</v>
      </c>
      <c r="H25" s="95" t="s">
        <v>554</v>
      </c>
      <c r="I25" s="96" t="s">
        <v>614</v>
      </c>
      <c r="J25" s="96" t="s">
        <v>285</v>
      </c>
      <c r="K25" s="96" t="s">
        <v>615</v>
      </c>
    </row>
    <row r="26" customFormat="false" ht="54.75" hidden="false" customHeight="true" outlineLevel="0" collapsed="false">
      <c r="A26" s="92" t="n">
        <v>46223</v>
      </c>
      <c r="B26" s="84" t="s">
        <v>21</v>
      </c>
      <c r="C26" s="84" t="s">
        <v>433</v>
      </c>
      <c r="D26" s="84" t="s">
        <v>549</v>
      </c>
      <c r="E26" s="8" t="s">
        <v>616</v>
      </c>
      <c r="F26" s="84" t="n">
        <v>1062.5</v>
      </c>
      <c r="G26" s="92" t="n">
        <v>46223</v>
      </c>
      <c r="H26" s="84" t="s">
        <v>549</v>
      </c>
      <c r="I26" s="8" t="s">
        <v>617</v>
      </c>
      <c r="J26" s="8" t="s">
        <v>292</v>
      </c>
      <c r="K26" s="8" t="s">
        <v>546</v>
      </c>
    </row>
    <row r="27" customFormat="false" ht="54.75" hidden="false" customHeight="true" outlineLevel="0" collapsed="false">
      <c r="A27" s="92" t="n">
        <v>46252</v>
      </c>
      <c r="B27" s="84" t="s">
        <v>19</v>
      </c>
      <c r="C27" s="84" t="s">
        <v>433</v>
      </c>
      <c r="D27" s="84" t="s">
        <v>17</v>
      </c>
      <c r="E27" s="8" t="s">
        <v>618</v>
      </c>
      <c r="F27" s="84" t="n">
        <v>562.5</v>
      </c>
      <c r="G27" s="92" t="n">
        <v>46252</v>
      </c>
      <c r="H27" s="84" t="s">
        <v>582</v>
      </c>
      <c r="I27" s="8" t="s">
        <v>619</v>
      </c>
      <c r="J27" s="8" t="s">
        <v>292</v>
      </c>
      <c r="K27" s="8" t="s">
        <v>546</v>
      </c>
    </row>
    <row r="28" customFormat="false" ht="27.75" hidden="false" customHeight="true" outlineLevel="0" collapsed="false">
      <c r="A28" s="92" t="n">
        <v>46252</v>
      </c>
      <c r="B28" s="84" t="s">
        <v>21</v>
      </c>
      <c r="C28" s="84" t="s">
        <v>433</v>
      </c>
      <c r="D28" s="84" t="s">
        <v>17</v>
      </c>
      <c r="E28" s="8" t="s">
        <v>620</v>
      </c>
      <c r="F28" s="84" t="n">
        <v>637.5</v>
      </c>
      <c r="G28" s="92" t="n">
        <v>46252</v>
      </c>
      <c r="H28" s="84" t="s">
        <v>582</v>
      </c>
      <c r="I28" s="8" t="s">
        <v>621</v>
      </c>
      <c r="J28" s="8" t="s">
        <v>292</v>
      </c>
      <c r="K28" s="8" t="s">
        <v>546</v>
      </c>
    </row>
    <row r="29" customFormat="false" ht="27.75" hidden="false" customHeight="true" outlineLevel="0" collapsed="false">
      <c r="A29" s="92" t="n">
        <v>46258</v>
      </c>
      <c r="B29" s="84" t="s">
        <v>16</v>
      </c>
      <c r="C29" s="84" t="s">
        <v>11</v>
      </c>
      <c r="D29" s="84" t="s">
        <v>622</v>
      </c>
      <c r="E29" s="8" t="s">
        <v>623</v>
      </c>
      <c r="F29" s="84" t="n">
        <v>141.66</v>
      </c>
      <c r="G29" s="92" t="n">
        <v>46258</v>
      </c>
      <c r="H29" s="84" t="s">
        <v>554</v>
      </c>
      <c r="I29" s="8" t="s">
        <v>624</v>
      </c>
      <c r="J29" s="8" t="s">
        <v>285</v>
      </c>
      <c r="K29" s="8" t="s">
        <v>625</v>
      </c>
      <c r="L29" s="93" t="n">
        <v>8</v>
      </c>
    </row>
    <row r="30" customFormat="false" ht="108.75" hidden="false" customHeight="true" outlineLevel="0" collapsed="false">
      <c r="A30" s="92" t="n">
        <v>46269</v>
      </c>
      <c r="B30" s="84" t="s">
        <v>13</v>
      </c>
      <c r="C30" s="84" t="s">
        <v>14</v>
      </c>
      <c r="D30" s="84" t="s">
        <v>549</v>
      </c>
      <c r="E30" s="8" t="s">
        <v>626</v>
      </c>
      <c r="F30" s="84" t="n">
        <v>2000</v>
      </c>
      <c r="G30" s="92" t="n">
        <v>46269</v>
      </c>
      <c r="H30" s="84" t="s">
        <v>549</v>
      </c>
      <c r="I30" s="8" t="s">
        <v>627</v>
      </c>
      <c r="J30" s="8" t="s">
        <v>285</v>
      </c>
      <c r="K30" s="8" t="s">
        <v>615</v>
      </c>
    </row>
    <row r="31" customFormat="false" ht="81.75" hidden="false" customHeight="true" outlineLevel="0" collapsed="false">
      <c r="A31" s="98" t="n">
        <v>46275</v>
      </c>
      <c r="B31" s="84" t="s">
        <v>16</v>
      </c>
      <c r="C31" s="84" t="s">
        <v>11</v>
      </c>
      <c r="D31" s="84" t="s">
        <v>628</v>
      </c>
      <c r="E31" s="8" t="s">
        <v>629</v>
      </c>
      <c r="F31" s="84" t="n">
        <v>141.66</v>
      </c>
      <c r="G31" s="98" t="n">
        <v>46275</v>
      </c>
      <c r="H31" s="84" t="s">
        <v>582</v>
      </c>
      <c r="I31" s="8" t="s">
        <v>630</v>
      </c>
      <c r="J31" s="8" t="s">
        <v>285</v>
      </c>
      <c r="K31" s="8" t="s">
        <v>631</v>
      </c>
      <c r="L31" s="93" t="n">
        <v>9</v>
      </c>
    </row>
    <row r="32" customFormat="false" ht="54.75" hidden="false" customHeight="true" outlineLevel="0" collapsed="false">
      <c r="A32" s="98" t="n">
        <v>46276</v>
      </c>
      <c r="B32" s="84" t="s">
        <v>26</v>
      </c>
      <c r="C32" s="84" t="s">
        <v>582</v>
      </c>
      <c r="D32" s="84" t="s">
        <v>632</v>
      </c>
      <c r="E32" s="8" t="s">
        <v>633</v>
      </c>
      <c r="F32" s="84" t="n">
        <v>680</v>
      </c>
      <c r="G32" s="98" t="n">
        <v>46276</v>
      </c>
      <c r="H32" s="84" t="s">
        <v>549</v>
      </c>
      <c r="I32" s="8" t="s">
        <v>634</v>
      </c>
      <c r="J32" s="8" t="s">
        <v>285</v>
      </c>
      <c r="K32" s="8" t="s">
        <v>635</v>
      </c>
    </row>
    <row r="33" customFormat="false" ht="41.25" hidden="false" customHeight="true" outlineLevel="0" collapsed="false">
      <c r="A33" s="98" t="n">
        <v>46276</v>
      </c>
      <c r="B33" s="84" t="s">
        <v>16</v>
      </c>
      <c r="C33" s="84" t="s">
        <v>14</v>
      </c>
      <c r="D33" s="84" t="s">
        <v>549</v>
      </c>
      <c r="E33" s="8" t="s">
        <v>636</v>
      </c>
      <c r="F33" s="84" t="n">
        <v>1260</v>
      </c>
      <c r="G33" s="98" t="n">
        <v>46276</v>
      </c>
      <c r="H33" s="84" t="s">
        <v>549</v>
      </c>
      <c r="I33" s="8" t="s">
        <v>637</v>
      </c>
      <c r="J33" s="8" t="s">
        <v>115</v>
      </c>
      <c r="K33" s="8" t="s">
        <v>638</v>
      </c>
      <c r="L33" s="93" t="n">
        <v>11</v>
      </c>
    </row>
    <row r="34" customFormat="false" ht="27.75" hidden="false" customHeight="true" outlineLevel="0" collapsed="false">
      <c r="A34" s="98" t="n">
        <v>46276</v>
      </c>
      <c r="B34" s="84" t="s">
        <v>16</v>
      </c>
      <c r="C34" s="84" t="s">
        <v>14</v>
      </c>
      <c r="D34" s="84" t="s">
        <v>549</v>
      </c>
      <c r="E34" s="8" t="s">
        <v>639</v>
      </c>
      <c r="F34" s="84" t="n">
        <v>180</v>
      </c>
      <c r="G34" s="98" t="n">
        <v>46276</v>
      </c>
      <c r="H34" s="84" t="s">
        <v>549</v>
      </c>
      <c r="I34" s="8" t="s">
        <v>640</v>
      </c>
      <c r="J34" s="8" t="s">
        <v>303</v>
      </c>
      <c r="K34" s="8" t="s">
        <v>641</v>
      </c>
      <c r="L34" s="93" t="n">
        <v>12</v>
      </c>
    </row>
    <row r="35" customFormat="false" ht="54.75" hidden="false" customHeight="true" outlineLevel="0" collapsed="false">
      <c r="A35" s="98" t="n">
        <v>46276</v>
      </c>
      <c r="B35" s="84" t="s">
        <v>16</v>
      </c>
      <c r="C35" s="84" t="s">
        <v>14</v>
      </c>
      <c r="D35" s="84" t="s">
        <v>549</v>
      </c>
      <c r="E35" s="8" t="s">
        <v>642</v>
      </c>
      <c r="F35" s="84" t="n">
        <v>315</v>
      </c>
      <c r="G35" s="98" t="n">
        <v>46276</v>
      </c>
      <c r="H35" s="84" t="s">
        <v>549</v>
      </c>
      <c r="I35" s="8" t="s">
        <v>643</v>
      </c>
      <c r="J35" s="8" t="s">
        <v>124</v>
      </c>
      <c r="K35" s="8" t="s">
        <v>644</v>
      </c>
      <c r="L35" s="93" t="n">
        <v>13</v>
      </c>
    </row>
    <row r="36" customFormat="false" ht="27.75" hidden="false" customHeight="true" outlineLevel="0" collapsed="false">
      <c r="A36" s="98" t="n">
        <v>46276</v>
      </c>
      <c r="B36" s="84" t="s">
        <v>16</v>
      </c>
      <c r="C36" s="84" t="s">
        <v>14</v>
      </c>
      <c r="D36" s="84" t="s">
        <v>549</v>
      </c>
      <c r="E36" s="8" t="s">
        <v>645</v>
      </c>
      <c r="F36" s="84" t="n">
        <v>360</v>
      </c>
      <c r="G36" s="98" t="n">
        <v>46276</v>
      </c>
      <c r="H36" s="84" t="s">
        <v>549</v>
      </c>
      <c r="I36" s="8" t="s">
        <v>646</v>
      </c>
      <c r="J36" s="8" t="s">
        <v>115</v>
      </c>
      <c r="K36" s="8" t="s">
        <v>647</v>
      </c>
      <c r="L36" s="93" t="n">
        <v>14</v>
      </c>
    </row>
    <row r="37" customFormat="false" ht="95.25" hidden="false" customHeight="true" outlineLevel="0" collapsed="false">
      <c r="A37" s="98" t="n">
        <v>46283</v>
      </c>
      <c r="B37" s="84" t="s">
        <v>13</v>
      </c>
      <c r="C37" s="84" t="s">
        <v>14</v>
      </c>
      <c r="D37" s="84" t="s">
        <v>549</v>
      </c>
      <c r="E37" s="8" t="s">
        <v>648</v>
      </c>
      <c r="F37" s="84" t="n">
        <v>2000</v>
      </c>
      <c r="G37" s="98" t="n">
        <v>46283</v>
      </c>
      <c r="H37" s="84" t="s">
        <v>549</v>
      </c>
      <c r="I37" s="8" t="s">
        <v>649</v>
      </c>
      <c r="J37" s="8" t="s">
        <v>285</v>
      </c>
      <c r="K37" s="8" t="s">
        <v>615</v>
      </c>
    </row>
    <row r="38" customFormat="false" ht="54.75" hidden="false" customHeight="true" outlineLevel="0" collapsed="false">
      <c r="A38" s="98" t="n">
        <v>46252</v>
      </c>
      <c r="B38" s="84" t="s">
        <v>16</v>
      </c>
      <c r="C38" s="84" t="s">
        <v>483</v>
      </c>
      <c r="D38" s="84" t="s">
        <v>650</v>
      </c>
      <c r="E38" s="8" t="s">
        <v>651</v>
      </c>
      <c r="F38" s="84" t="n">
        <v>144.58</v>
      </c>
      <c r="G38" s="98" t="n">
        <v>46300</v>
      </c>
      <c r="H38" s="84" t="s">
        <v>652</v>
      </c>
      <c r="I38" s="8" t="s">
        <v>653</v>
      </c>
      <c r="J38" s="8" t="s">
        <v>285</v>
      </c>
      <c r="K38" s="8" t="s">
        <v>654</v>
      </c>
      <c r="L38" s="93" t="n">
        <v>16</v>
      </c>
    </row>
    <row r="39" customFormat="false" ht="27.75" hidden="false" customHeight="true" outlineLevel="0" collapsed="false">
      <c r="A39" s="98" t="n">
        <v>46253</v>
      </c>
      <c r="B39" s="84" t="s">
        <v>16</v>
      </c>
      <c r="C39" s="84" t="s">
        <v>483</v>
      </c>
      <c r="D39" s="84" t="s">
        <v>655</v>
      </c>
      <c r="E39" s="8" t="s">
        <v>656</v>
      </c>
      <c r="F39" s="84" t="n">
        <v>74.34</v>
      </c>
      <c r="G39" s="98" t="n">
        <v>46300</v>
      </c>
      <c r="H39" s="84" t="s">
        <v>652</v>
      </c>
      <c r="I39" s="8" t="s">
        <v>653</v>
      </c>
      <c r="J39" s="8" t="s">
        <v>285</v>
      </c>
      <c r="K39" s="8" t="s">
        <v>654</v>
      </c>
      <c r="L39" s="93" t="n">
        <v>17</v>
      </c>
    </row>
    <row r="40" customFormat="false" ht="41.25" hidden="false" customHeight="true" outlineLevel="0" collapsed="false">
      <c r="A40" s="98" t="n">
        <v>46254</v>
      </c>
      <c r="B40" s="84" t="s">
        <v>16</v>
      </c>
      <c r="C40" s="84" t="s">
        <v>483</v>
      </c>
      <c r="D40" s="84" t="s">
        <v>657</v>
      </c>
      <c r="E40" s="8" t="s">
        <v>658</v>
      </c>
      <c r="F40" s="84" t="n">
        <v>462.5</v>
      </c>
      <c r="G40" s="98" t="n">
        <v>46300</v>
      </c>
      <c r="H40" s="84" t="s">
        <v>652</v>
      </c>
      <c r="I40" s="8" t="s">
        <v>659</v>
      </c>
      <c r="J40" s="8" t="s">
        <v>285</v>
      </c>
      <c r="K40" s="8" t="s">
        <v>654</v>
      </c>
      <c r="L40" s="93" t="n">
        <v>18</v>
      </c>
    </row>
    <row r="41" customFormat="false" ht="27.75" hidden="false" customHeight="true" outlineLevel="0" collapsed="false">
      <c r="A41" s="98" t="n">
        <v>46254</v>
      </c>
      <c r="B41" s="84" t="s">
        <v>16</v>
      </c>
      <c r="C41" s="84" t="s">
        <v>483</v>
      </c>
      <c r="D41" s="84" t="s">
        <v>660</v>
      </c>
      <c r="E41" s="8" t="s">
        <v>661</v>
      </c>
      <c r="F41" s="84" t="n">
        <v>22.66</v>
      </c>
      <c r="G41" s="98" t="n">
        <v>46300</v>
      </c>
      <c r="H41" s="84" t="s">
        <v>652</v>
      </c>
      <c r="I41" s="8" t="s">
        <v>653</v>
      </c>
      <c r="J41" s="8" t="s">
        <v>285</v>
      </c>
      <c r="K41" s="8" t="s">
        <v>654</v>
      </c>
      <c r="L41" s="93" t="n">
        <v>19</v>
      </c>
    </row>
    <row r="42" customFormat="false" ht="27.75" hidden="false" customHeight="true" outlineLevel="0" collapsed="false">
      <c r="A42" s="98" t="n">
        <v>46273</v>
      </c>
      <c r="B42" s="84" t="s">
        <v>16</v>
      </c>
      <c r="C42" s="84" t="s">
        <v>483</v>
      </c>
      <c r="D42" s="84" t="s">
        <v>662</v>
      </c>
      <c r="E42" s="8" t="s">
        <v>663</v>
      </c>
      <c r="F42" s="84" t="n">
        <v>58.62</v>
      </c>
      <c r="G42" s="98" t="n">
        <v>46300</v>
      </c>
      <c r="H42" s="84" t="s">
        <v>652</v>
      </c>
      <c r="I42" s="8" t="s">
        <v>653</v>
      </c>
      <c r="J42" s="8" t="s">
        <v>285</v>
      </c>
      <c r="K42" s="8" t="s">
        <v>654</v>
      </c>
      <c r="L42" s="93" t="n">
        <v>20</v>
      </c>
    </row>
    <row r="43" customFormat="false" ht="41.25" hidden="false" customHeight="true" outlineLevel="0" collapsed="false">
      <c r="A43" s="98" t="n">
        <v>46274</v>
      </c>
      <c r="B43" s="84" t="s">
        <v>16</v>
      </c>
      <c r="C43" s="84" t="s">
        <v>664</v>
      </c>
      <c r="D43" s="84" t="s">
        <v>665</v>
      </c>
      <c r="E43" s="8" t="s">
        <v>666</v>
      </c>
      <c r="F43" s="84" t="n">
        <v>378.58</v>
      </c>
      <c r="G43" s="98" t="n">
        <v>46300</v>
      </c>
      <c r="H43" s="84" t="s">
        <v>652</v>
      </c>
      <c r="I43" s="8" t="s">
        <v>667</v>
      </c>
      <c r="J43" s="8" t="s">
        <v>303</v>
      </c>
      <c r="K43" s="8" t="s">
        <v>668</v>
      </c>
      <c r="L43" s="93" t="n">
        <v>10</v>
      </c>
    </row>
    <row r="44" customFormat="false" ht="27.75" hidden="false" customHeight="true" outlineLevel="0" collapsed="false">
      <c r="A44" s="98" t="n">
        <v>46275</v>
      </c>
      <c r="B44" s="84" t="s">
        <v>16</v>
      </c>
      <c r="C44" s="84" t="s">
        <v>483</v>
      </c>
      <c r="D44" s="84" t="s">
        <v>669</v>
      </c>
      <c r="E44" s="8" t="s">
        <v>670</v>
      </c>
      <c r="F44" s="84" t="n">
        <v>124.73</v>
      </c>
      <c r="G44" s="98" t="n">
        <v>46300</v>
      </c>
      <c r="H44" s="84" t="s">
        <v>652</v>
      </c>
      <c r="I44" s="8" t="s">
        <v>653</v>
      </c>
      <c r="J44" s="8" t="s">
        <v>285</v>
      </c>
      <c r="K44" s="8" t="s">
        <v>654</v>
      </c>
      <c r="L44" s="93" t="n">
        <v>21</v>
      </c>
    </row>
    <row r="45" customFormat="false" ht="68.25" hidden="false" customHeight="true" outlineLevel="0" collapsed="false">
      <c r="A45" s="98" t="n">
        <v>46276</v>
      </c>
      <c r="B45" s="84" t="s">
        <v>16</v>
      </c>
      <c r="C45" s="84" t="s">
        <v>483</v>
      </c>
      <c r="D45" s="84" t="s">
        <v>671</v>
      </c>
      <c r="E45" s="8" t="s">
        <v>672</v>
      </c>
      <c r="F45" s="84" t="n">
        <v>18.29</v>
      </c>
      <c r="G45" s="98" t="n">
        <v>46300</v>
      </c>
      <c r="H45" s="84" t="s">
        <v>652</v>
      </c>
      <c r="I45" s="8" t="s">
        <v>653</v>
      </c>
      <c r="J45" s="8" t="s">
        <v>333</v>
      </c>
      <c r="K45" s="8" t="s">
        <v>673</v>
      </c>
      <c r="L45" s="93" t="n">
        <v>22</v>
      </c>
    </row>
    <row r="46" customFormat="false" ht="81.75" hidden="false" customHeight="true" outlineLevel="0" collapsed="false">
      <c r="A46" s="98" t="n">
        <v>46276</v>
      </c>
      <c r="B46" s="84" t="s">
        <v>16</v>
      </c>
      <c r="C46" s="84" t="s">
        <v>483</v>
      </c>
      <c r="D46" s="84" t="s">
        <v>674</v>
      </c>
      <c r="E46" s="8" t="s">
        <v>675</v>
      </c>
      <c r="F46" s="84" t="n">
        <v>291.17</v>
      </c>
      <c r="G46" s="98" t="n">
        <v>46300</v>
      </c>
      <c r="H46" s="84" t="s">
        <v>652</v>
      </c>
      <c r="I46" s="8" t="s">
        <v>676</v>
      </c>
      <c r="J46" s="8" t="s">
        <v>124</v>
      </c>
      <c r="K46" s="8" t="s">
        <v>677</v>
      </c>
      <c r="L46" s="93" t="n">
        <v>23</v>
      </c>
    </row>
    <row r="47" customFormat="false" ht="68.25" hidden="false" customHeight="true" outlineLevel="0" collapsed="false">
      <c r="A47" s="98" t="n">
        <v>46294</v>
      </c>
      <c r="B47" s="84" t="s">
        <v>16</v>
      </c>
      <c r="C47" s="84" t="s">
        <v>11</v>
      </c>
      <c r="D47" s="84" t="s">
        <v>678</v>
      </c>
      <c r="E47" s="8" t="s">
        <v>679</v>
      </c>
      <c r="F47" s="84" t="n">
        <v>5322.74</v>
      </c>
      <c r="G47" s="98" t="n">
        <v>46294</v>
      </c>
      <c r="H47" s="84" t="s">
        <v>680</v>
      </c>
      <c r="I47" s="8" t="s">
        <v>681</v>
      </c>
      <c r="J47" s="8" t="s">
        <v>115</v>
      </c>
      <c r="K47" s="8" t="s">
        <v>682</v>
      </c>
      <c r="L47" s="93" t="n">
        <v>24</v>
      </c>
    </row>
    <row r="48" customFormat="false" ht="81.75" hidden="false" customHeight="true" outlineLevel="0" collapsed="false">
      <c r="A48" s="98" t="n">
        <v>46294</v>
      </c>
      <c r="B48" s="84" t="s">
        <v>29</v>
      </c>
      <c r="C48" s="84" t="s">
        <v>683</v>
      </c>
      <c r="D48" s="84" t="s">
        <v>684</v>
      </c>
      <c r="E48" s="8" t="s">
        <v>685</v>
      </c>
      <c r="F48" s="84" t="n">
        <v>256.78</v>
      </c>
      <c r="G48" s="98" t="n">
        <v>46294</v>
      </c>
      <c r="H48" s="84" t="s">
        <v>686</v>
      </c>
      <c r="I48" s="8" t="s">
        <v>687</v>
      </c>
      <c r="J48" s="8" t="s">
        <v>359</v>
      </c>
      <c r="K48" s="8" t="s">
        <v>688</v>
      </c>
    </row>
    <row r="49" customFormat="false" ht="68.25" hidden="false" customHeight="true" outlineLevel="0" collapsed="false">
      <c r="A49" s="98" t="n">
        <v>46295</v>
      </c>
      <c r="B49" s="84" t="s">
        <v>29</v>
      </c>
      <c r="C49" s="84" t="s">
        <v>683</v>
      </c>
      <c r="D49" s="84" t="s">
        <v>689</v>
      </c>
      <c r="E49" s="8" t="s">
        <v>690</v>
      </c>
      <c r="F49" s="84" t="n">
        <v>9.74</v>
      </c>
      <c r="G49" s="98" t="n">
        <v>46297</v>
      </c>
      <c r="H49" s="84" t="s">
        <v>691</v>
      </c>
      <c r="I49" s="8" t="s">
        <v>692</v>
      </c>
      <c r="J49" s="8" t="s">
        <v>359</v>
      </c>
      <c r="K49" s="8" t="s">
        <v>688</v>
      </c>
    </row>
    <row r="50" customFormat="false" ht="95.25" hidden="false" customHeight="true" outlineLevel="0" collapsed="false">
      <c r="A50" s="98" t="n">
        <v>46295</v>
      </c>
      <c r="B50" s="84" t="s">
        <v>29</v>
      </c>
      <c r="C50" s="84" t="s">
        <v>693</v>
      </c>
      <c r="D50" s="84" t="s">
        <v>694</v>
      </c>
      <c r="E50" s="8" t="s">
        <v>695</v>
      </c>
      <c r="F50" s="84" t="n">
        <v>78.01</v>
      </c>
      <c r="G50" s="98" t="n">
        <v>46297</v>
      </c>
      <c r="H50" s="84" t="s">
        <v>696</v>
      </c>
      <c r="I50" s="8" t="s">
        <v>697</v>
      </c>
      <c r="J50" s="8" t="s">
        <v>359</v>
      </c>
      <c r="K50" s="8" t="s">
        <v>688</v>
      </c>
    </row>
    <row r="51" customFormat="false" ht="41.25" hidden="false" customHeight="true" outlineLevel="0" collapsed="false">
      <c r="A51" s="98" t="n">
        <v>46296</v>
      </c>
      <c r="B51" s="84" t="s">
        <v>29</v>
      </c>
      <c r="C51" s="84" t="s">
        <v>693</v>
      </c>
      <c r="D51" s="84" t="s">
        <v>698</v>
      </c>
      <c r="E51" s="8" t="s">
        <v>699</v>
      </c>
      <c r="F51" s="84" t="n">
        <v>40.4</v>
      </c>
      <c r="G51" s="98" t="n">
        <v>46297</v>
      </c>
      <c r="H51" s="84" t="s">
        <v>700</v>
      </c>
      <c r="I51" s="8" t="s">
        <v>701</v>
      </c>
      <c r="J51" s="8" t="s">
        <v>359</v>
      </c>
      <c r="K51" s="8" t="s">
        <v>688</v>
      </c>
    </row>
    <row r="52" customFormat="false" ht="68.25" hidden="false" customHeight="true" outlineLevel="0" collapsed="false">
      <c r="A52" s="98" t="n">
        <v>46245</v>
      </c>
      <c r="B52" s="84" t="s">
        <v>16</v>
      </c>
      <c r="C52" s="84" t="s">
        <v>483</v>
      </c>
      <c r="D52" s="84" t="s">
        <v>702</v>
      </c>
      <c r="E52" s="8" t="s">
        <v>703</v>
      </c>
      <c r="F52" s="84" t="n">
        <v>108.14</v>
      </c>
      <c r="G52" s="98" t="n">
        <v>46276</v>
      </c>
      <c r="H52" s="84" t="s">
        <v>704</v>
      </c>
      <c r="I52" s="8" t="s">
        <v>705</v>
      </c>
      <c r="J52" s="8" t="s">
        <v>285</v>
      </c>
      <c r="K52" s="8" t="s">
        <v>706</v>
      </c>
      <c r="L52" s="93" t="n">
        <v>25</v>
      </c>
    </row>
    <row r="53" customFormat="false" ht="81.75" hidden="false" customHeight="true" outlineLevel="0" collapsed="false">
      <c r="A53" s="98" t="n">
        <v>46251</v>
      </c>
      <c r="B53" s="84" t="s">
        <v>16</v>
      </c>
      <c r="C53" s="84" t="s">
        <v>483</v>
      </c>
      <c r="D53" s="84" t="s">
        <v>707</v>
      </c>
      <c r="E53" s="8" t="s">
        <v>708</v>
      </c>
      <c r="F53" s="84" t="n">
        <v>247.01</v>
      </c>
      <c r="G53" s="98" t="n">
        <v>46276</v>
      </c>
      <c r="H53" s="84" t="s">
        <v>704</v>
      </c>
      <c r="I53" s="8" t="s">
        <v>709</v>
      </c>
      <c r="J53" s="8" t="s">
        <v>285</v>
      </c>
      <c r="K53" s="8" t="s">
        <v>654</v>
      </c>
      <c r="L53" s="93" t="n">
        <v>26</v>
      </c>
    </row>
    <row r="54" customFormat="false" ht="54.75" hidden="false" customHeight="true" outlineLevel="0" collapsed="false">
      <c r="A54" s="98" t="n">
        <v>46251</v>
      </c>
      <c r="B54" s="84" t="s">
        <v>16</v>
      </c>
      <c r="C54" s="84" t="s">
        <v>483</v>
      </c>
      <c r="D54" s="84" t="s">
        <v>710</v>
      </c>
      <c r="E54" s="8" t="s">
        <v>711</v>
      </c>
      <c r="F54" s="84" t="n">
        <v>100.11</v>
      </c>
      <c r="G54" s="98" t="n">
        <v>46300</v>
      </c>
      <c r="H54" s="84" t="s">
        <v>652</v>
      </c>
      <c r="I54" s="8" t="s">
        <v>712</v>
      </c>
      <c r="J54" s="8" t="s">
        <v>285</v>
      </c>
      <c r="K54" s="8" t="s">
        <v>654</v>
      </c>
      <c r="L54" s="93" t="n">
        <v>26</v>
      </c>
    </row>
    <row r="55" customFormat="false" ht="27.75" hidden="false" customHeight="true" outlineLevel="0" collapsed="false">
      <c r="A55" s="98" t="n">
        <v>46268</v>
      </c>
      <c r="B55" s="84" t="s">
        <v>16</v>
      </c>
      <c r="C55" s="84" t="s">
        <v>483</v>
      </c>
      <c r="D55" s="84" t="s">
        <v>713</v>
      </c>
      <c r="E55" s="8" t="s">
        <v>714</v>
      </c>
      <c r="F55" s="84" t="n">
        <v>249.46</v>
      </c>
      <c r="G55" s="98" t="n">
        <v>46300</v>
      </c>
      <c r="H55" s="84" t="s">
        <v>652</v>
      </c>
      <c r="I55" s="8" t="s">
        <v>653</v>
      </c>
      <c r="J55" s="8" t="s">
        <v>285</v>
      </c>
      <c r="K55" s="8" t="s">
        <v>654</v>
      </c>
      <c r="L55" s="93" t="n">
        <v>27</v>
      </c>
    </row>
    <row r="56" customFormat="false" ht="27.75" hidden="false" customHeight="true" outlineLevel="0" collapsed="false">
      <c r="A56" s="98" t="n">
        <v>46279</v>
      </c>
      <c r="B56" s="84" t="s">
        <v>16</v>
      </c>
      <c r="C56" s="84" t="s">
        <v>664</v>
      </c>
      <c r="D56" s="84" t="s">
        <v>715</v>
      </c>
      <c r="E56" s="8" t="s">
        <v>716</v>
      </c>
      <c r="F56" s="84" t="n">
        <v>277.79</v>
      </c>
      <c r="G56" s="98" t="n">
        <v>46300</v>
      </c>
      <c r="H56" s="84" t="s">
        <v>652</v>
      </c>
      <c r="I56" s="8" t="s">
        <v>653</v>
      </c>
      <c r="J56" s="8" t="s">
        <v>303</v>
      </c>
      <c r="K56" s="8" t="s">
        <v>668</v>
      </c>
      <c r="L56" s="93" t="n">
        <v>28</v>
      </c>
    </row>
    <row r="57" customFormat="false" ht="27.75" hidden="false" customHeight="true" outlineLevel="0" collapsed="false">
      <c r="A57" s="98" t="n">
        <v>46286</v>
      </c>
      <c r="B57" s="84" t="s">
        <v>16</v>
      </c>
      <c r="C57" s="84" t="s">
        <v>483</v>
      </c>
      <c r="D57" s="84" t="s">
        <v>717</v>
      </c>
      <c r="E57" s="8" t="s">
        <v>718</v>
      </c>
      <c r="F57" s="84" t="n">
        <v>60.3</v>
      </c>
      <c r="G57" s="98" t="n">
        <v>46300</v>
      </c>
      <c r="H57" s="84" t="s">
        <v>652</v>
      </c>
      <c r="I57" s="8" t="s">
        <v>653</v>
      </c>
      <c r="J57" s="8" t="s">
        <v>115</v>
      </c>
      <c r="K57" s="8" t="s">
        <v>719</v>
      </c>
      <c r="L57" s="93" t="n">
        <v>29</v>
      </c>
    </row>
    <row r="58" customFormat="false" ht="27.75" hidden="false" customHeight="true" outlineLevel="0" collapsed="false">
      <c r="A58" s="98" t="n">
        <v>46286</v>
      </c>
      <c r="B58" s="84" t="s">
        <v>16</v>
      </c>
      <c r="C58" s="84" t="s">
        <v>483</v>
      </c>
      <c r="D58" s="84" t="s">
        <v>720</v>
      </c>
      <c r="E58" s="8" t="s">
        <v>721</v>
      </c>
      <c r="F58" s="84" t="n">
        <v>50.76</v>
      </c>
      <c r="G58" s="98" t="n">
        <v>46300</v>
      </c>
      <c r="H58" s="84" t="s">
        <v>652</v>
      </c>
      <c r="I58" s="8" t="s">
        <v>653</v>
      </c>
      <c r="J58" s="8" t="s">
        <v>115</v>
      </c>
      <c r="K58" s="8" t="s">
        <v>719</v>
      </c>
      <c r="L58" s="93" t="n">
        <v>30</v>
      </c>
    </row>
    <row r="59" customFormat="false" ht="81.75" hidden="false" customHeight="true" outlineLevel="0" collapsed="false">
      <c r="A59" s="98" t="n">
        <v>46297</v>
      </c>
      <c r="B59" s="84" t="s">
        <v>29</v>
      </c>
      <c r="C59" s="84" t="s">
        <v>14</v>
      </c>
      <c r="D59" s="84" t="s">
        <v>722</v>
      </c>
      <c r="E59" s="8" t="s">
        <v>723</v>
      </c>
      <c r="F59" s="84" t="n">
        <v>1600</v>
      </c>
      <c r="G59" s="98" t="n">
        <v>46298</v>
      </c>
      <c r="H59" s="84" t="s">
        <v>554</v>
      </c>
      <c r="I59" s="8" t="s">
        <v>724</v>
      </c>
      <c r="J59" s="8" t="s">
        <v>359</v>
      </c>
      <c r="K59" s="8" t="s">
        <v>688</v>
      </c>
    </row>
    <row r="60" customFormat="false" ht="48" hidden="false" customHeight="true" outlineLevel="0" collapsed="false">
      <c r="A60" s="98" t="n">
        <v>46304</v>
      </c>
      <c r="B60" s="84" t="s">
        <v>16</v>
      </c>
      <c r="C60" s="84" t="s">
        <v>14</v>
      </c>
      <c r="D60" s="84" t="s">
        <v>725</v>
      </c>
      <c r="E60" s="8" t="s">
        <v>726</v>
      </c>
      <c r="F60" s="84" t="n">
        <v>800</v>
      </c>
      <c r="G60" s="98" t="n">
        <v>46304</v>
      </c>
      <c r="H60" s="84" t="s">
        <v>554</v>
      </c>
      <c r="I60" s="8" t="s">
        <v>727</v>
      </c>
      <c r="J60" s="8" t="s">
        <v>285</v>
      </c>
      <c r="K60" s="8" t="s">
        <v>728</v>
      </c>
      <c r="L60" s="1" t="n">
        <v>4</v>
      </c>
    </row>
    <row r="61" customFormat="false" ht="48" hidden="false" customHeight="true" outlineLevel="0" collapsed="false">
      <c r="A61" s="98" t="n">
        <v>46304</v>
      </c>
      <c r="B61" s="84" t="s">
        <v>16</v>
      </c>
      <c r="C61" s="84" t="s">
        <v>14</v>
      </c>
      <c r="D61" s="84" t="s">
        <v>729</v>
      </c>
      <c r="E61" s="8" t="s">
        <v>730</v>
      </c>
      <c r="F61" s="84" t="n">
        <v>1050</v>
      </c>
      <c r="G61" s="98" t="n">
        <v>46304</v>
      </c>
      <c r="H61" s="84" t="s">
        <v>554</v>
      </c>
      <c r="I61" s="8" t="s">
        <v>727</v>
      </c>
      <c r="J61" s="8" t="s">
        <v>115</v>
      </c>
      <c r="K61" s="8" t="s">
        <v>731</v>
      </c>
      <c r="L61" s="1" t="n">
        <v>32</v>
      </c>
    </row>
    <row r="62" customFormat="false" ht="60" hidden="false" customHeight="true" outlineLevel="0" collapsed="false">
      <c r="A62" s="98" t="n">
        <v>46301</v>
      </c>
      <c r="B62" s="84" t="s">
        <v>16</v>
      </c>
      <c r="C62" s="84" t="s">
        <v>732</v>
      </c>
      <c r="D62" s="84" t="s">
        <v>733</v>
      </c>
      <c r="E62" s="8" t="s">
        <v>734</v>
      </c>
      <c r="F62" s="84" t="n">
        <v>84.97</v>
      </c>
      <c r="G62" s="98" t="n">
        <v>46308</v>
      </c>
      <c r="H62" s="84" t="s">
        <v>735</v>
      </c>
      <c r="I62" s="8" t="s">
        <v>736</v>
      </c>
      <c r="J62" s="8" t="s">
        <v>285</v>
      </c>
      <c r="K62" s="8" t="s">
        <v>737</v>
      </c>
      <c r="L62" s="1" t="n">
        <v>33</v>
      </c>
    </row>
    <row r="63" customFormat="false" ht="60" hidden="false" customHeight="true" outlineLevel="0" collapsed="false">
      <c r="A63" s="98" t="n">
        <v>46312</v>
      </c>
      <c r="B63" s="84" t="s">
        <v>16</v>
      </c>
      <c r="C63" s="84" t="s">
        <v>14</v>
      </c>
      <c r="D63" s="84" t="s">
        <v>738</v>
      </c>
      <c r="E63" s="8" t="s">
        <v>739</v>
      </c>
      <c r="F63" s="84" t="n">
        <v>350</v>
      </c>
      <c r="G63" s="98" t="n">
        <v>46312</v>
      </c>
      <c r="H63" s="84" t="s">
        <v>554</v>
      </c>
      <c r="I63" s="8" t="s">
        <v>740</v>
      </c>
      <c r="J63" s="8" t="s">
        <v>129</v>
      </c>
      <c r="K63" s="8" t="s">
        <v>741</v>
      </c>
      <c r="L63" s="1" t="n">
        <v>35</v>
      </c>
    </row>
    <row r="64" customFormat="false" ht="60" hidden="false" customHeight="true" outlineLevel="0" collapsed="false">
      <c r="A64" s="98" t="n">
        <v>46312</v>
      </c>
      <c r="B64" s="84" t="s">
        <v>16</v>
      </c>
      <c r="C64" s="84" t="s">
        <v>14</v>
      </c>
      <c r="D64" s="84" t="s">
        <v>742</v>
      </c>
      <c r="E64" s="8" t="s">
        <v>743</v>
      </c>
      <c r="F64" s="84" t="n">
        <v>1000</v>
      </c>
      <c r="G64" s="98" t="n">
        <v>46312</v>
      </c>
      <c r="H64" s="84" t="s">
        <v>554</v>
      </c>
      <c r="I64" s="8" t="s">
        <v>740</v>
      </c>
      <c r="J64" s="8" t="s">
        <v>115</v>
      </c>
      <c r="K64" s="8" t="s">
        <v>744</v>
      </c>
      <c r="L64" s="1" t="n">
        <v>36</v>
      </c>
    </row>
    <row r="65" customFormat="false" ht="60" hidden="false" customHeight="true" outlineLevel="0" collapsed="false">
      <c r="A65" s="98" t="n">
        <v>46315</v>
      </c>
      <c r="B65" s="84" t="s">
        <v>16</v>
      </c>
      <c r="C65" s="84" t="s">
        <v>519</v>
      </c>
      <c r="D65" s="84" t="s">
        <v>745</v>
      </c>
      <c r="E65" s="8" t="s">
        <v>746</v>
      </c>
      <c r="F65" s="84" t="n">
        <v>177.58</v>
      </c>
      <c r="G65" s="98" t="n">
        <v>46315</v>
      </c>
      <c r="H65" s="84" t="s">
        <v>747</v>
      </c>
      <c r="I65" s="8" t="s">
        <v>748</v>
      </c>
      <c r="J65" s="8" t="s">
        <v>333</v>
      </c>
      <c r="K65" s="8" t="s">
        <v>749</v>
      </c>
      <c r="L65" s="1" t="n">
        <v>37</v>
      </c>
    </row>
    <row r="66" customFormat="false" ht="60" hidden="false" customHeight="true" outlineLevel="0" collapsed="false">
      <c r="A66" s="98" t="n">
        <v>46317</v>
      </c>
      <c r="B66" s="84" t="s">
        <v>16</v>
      </c>
      <c r="C66" s="84" t="s">
        <v>11</v>
      </c>
      <c r="D66" s="84" t="s">
        <v>750</v>
      </c>
      <c r="E66" s="8" t="s">
        <v>751</v>
      </c>
      <c r="F66" s="84" t="n">
        <v>1268</v>
      </c>
      <c r="G66" s="98" t="n">
        <v>46317</v>
      </c>
      <c r="H66" s="84" t="s">
        <v>752</v>
      </c>
      <c r="I66" s="8" t="s">
        <v>753</v>
      </c>
      <c r="J66" s="8" t="s">
        <v>115</v>
      </c>
      <c r="K66" s="8" t="s">
        <v>754</v>
      </c>
      <c r="L66" s="1" t="n">
        <v>38</v>
      </c>
    </row>
    <row r="67" customFormat="false" ht="60" hidden="false" customHeight="true" outlineLevel="0" collapsed="false">
      <c r="A67" s="98" t="n">
        <v>46314</v>
      </c>
      <c r="B67" s="84" t="s">
        <v>16</v>
      </c>
      <c r="C67" s="84" t="s">
        <v>368</v>
      </c>
      <c r="D67" s="84" t="s">
        <v>755</v>
      </c>
      <c r="E67" s="8" t="s">
        <v>756</v>
      </c>
      <c r="F67" s="84" t="n">
        <v>1200</v>
      </c>
      <c r="G67" s="98" t="n">
        <v>46314</v>
      </c>
      <c r="H67" s="84" t="s">
        <v>549</v>
      </c>
      <c r="I67" s="8" t="s">
        <v>757</v>
      </c>
      <c r="J67" s="8" t="s">
        <v>333</v>
      </c>
      <c r="K67" s="8" t="s">
        <v>758</v>
      </c>
      <c r="L67" s="1" t="n">
        <v>34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6B7280"/>
    <pageSetUpPr fitToPage="false"/>
  </sheetPr>
  <dimension ref="A1:I1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2" min="2" style="1" width="24"/>
    <col collapsed="false" customWidth="true" hidden="false" outlineLevel="0" max="3" min="3" style="1" width="52"/>
    <col collapsed="false" customWidth="true" hidden="false" outlineLevel="0" max="4" min="4" style="1" width="7"/>
    <col collapsed="false" customWidth="true" hidden="false" outlineLevel="0" max="5" min="5" style="1" width="10"/>
    <col collapsed="false" customWidth="true" hidden="false" outlineLevel="0" max="6" min="6" style="1" width="13"/>
    <col collapsed="false" customWidth="true" hidden="false" outlineLevel="0" max="7" min="7" style="1" width="10"/>
    <col collapsed="false" customWidth="true" hidden="false" outlineLevel="0" max="8" min="8" style="1" width="20"/>
    <col collapsed="false" customWidth="true" hidden="false" outlineLevel="0" max="9" min="9" style="1" width="44"/>
  </cols>
  <sheetData>
    <row r="1" customFormat="false" ht="19.5" hidden="false" customHeight="true" outlineLevel="0" collapsed="false">
      <c r="A1" s="2" t="s">
        <v>759</v>
      </c>
    </row>
    <row r="2" customFormat="false" ht="15" hidden="false" customHeight="true" outlineLevel="0" collapsed="false">
      <c r="A2" s="5" t="s">
        <v>760</v>
      </c>
    </row>
    <row r="4" customFormat="false" ht="15" hidden="false" customHeight="true" outlineLevel="0" collapsed="false">
      <c r="A4" s="6" t="s">
        <v>3</v>
      </c>
      <c r="B4" s="6" t="s">
        <v>4</v>
      </c>
      <c r="C4" s="6" t="s">
        <v>761</v>
      </c>
      <c r="D4" s="6" t="s">
        <v>762</v>
      </c>
      <c r="E4" s="6" t="s">
        <v>763</v>
      </c>
      <c r="F4" s="6" t="s">
        <v>764</v>
      </c>
      <c r="G4" s="6" t="s">
        <v>765</v>
      </c>
      <c r="H4" s="6" t="s">
        <v>766</v>
      </c>
      <c r="I4" s="6" t="s">
        <v>9</v>
      </c>
    </row>
    <row r="5" customFormat="false" ht="27.75" hidden="false" customHeight="true" outlineLevel="0" collapsed="false">
      <c r="A5" s="8" t="s">
        <v>19</v>
      </c>
      <c r="B5" s="8" t="s">
        <v>767</v>
      </c>
      <c r="C5" s="8" t="s">
        <v>768</v>
      </c>
      <c r="D5" s="88"/>
      <c r="E5" s="88"/>
      <c r="F5" s="18" t="n">
        <v>3200</v>
      </c>
      <c r="G5" s="88" t="s">
        <v>769</v>
      </c>
      <c r="H5" s="8" t="s">
        <v>770</v>
      </c>
      <c r="I5" s="11" t="s">
        <v>771</v>
      </c>
    </row>
    <row r="6" customFormat="false" ht="15" hidden="false" customHeight="true" outlineLevel="0" collapsed="false">
      <c r="A6" s="8" t="s">
        <v>19</v>
      </c>
      <c r="B6" s="8" t="s">
        <v>772</v>
      </c>
      <c r="C6" s="8" t="s">
        <v>773</v>
      </c>
      <c r="D6" s="88"/>
      <c r="E6" s="88"/>
      <c r="F6" s="18" t="n">
        <v>1500</v>
      </c>
      <c r="G6" s="88" t="s">
        <v>774</v>
      </c>
      <c r="H6" s="8" t="s">
        <v>775</v>
      </c>
      <c r="I6" s="11" t="s">
        <v>776</v>
      </c>
    </row>
    <row r="7" customFormat="false" ht="15" hidden="false" customHeight="true" outlineLevel="0" collapsed="false">
      <c r="A7" s="8" t="s">
        <v>23</v>
      </c>
      <c r="B7" s="8" t="s">
        <v>24</v>
      </c>
      <c r="C7" s="8" t="s">
        <v>777</v>
      </c>
      <c r="D7" s="88"/>
      <c r="E7" s="88"/>
      <c r="F7" s="18" t="n">
        <v>480</v>
      </c>
      <c r="G7" s="88" t="s">
        <v>774</v>
      </c>
      <c r="H7" s="8" t="s">
        <v>778</v>
      </c>
      <c r="I7" s="11"/>
    </row>
    <row r="8" customFormat="false" ht="15" hidden="false" customHeight="true" outlineLevel="0" collapsed="false">
      <c r="A8" s="8" t="s">
        <v>19</v>
      </c>
      <c r="B8" s="8" t="s">
        <v>767</v>
      </c>
      <c r="C8" s="8" t="s">
        <v>779</v>
      </c>
      <c r="D8" s="88"/>
      <c r="E8" s="88"/>
      <c r="F8" s="18" t="n">
        <v>0</v>
      </c>
      <c r="G8" s="88" t="s">
        <v>774</v>
      </c>
      <c r="H8" s="8" t="s">
        <v>770</v>
      </c>
      <c r="I8" s="11" t="s">
        <v>780</v>
      </c>
    </row>
    <row r="9" customFormat="false" ht="27.75" hidden="false" customHeight="true" outlineLevel="0" collapsed="false">
      <c r="A9" s="8" t="s">
        <v>21</v>
      </c>
      <c r="B9" s="8" t="s">
        <v>767</v>
      </c>
      <c r="C9" s="8" t="s">
        <v>781</v>
      </c>
      <c r="D9" s="88"/>
      <c r="E9" s="88"/>
      <c r="F9" s="18" t="n">
        <v>3610</v>
      </c>
      <c r="G9" s="88" t="s">
        <v>769</v>
      </c>
      <c r="H9" s="8" t="s">
        <v>770</v>
      </c>
      <c r="I9" s="12" t="s">
        <v>782</v>
      </c>
    </row>
    <row r="10" customFormat="false" ht="15" hidden="false" customHeight="true" outlineLevel="0" collapsed="false">
      <c r="A10" s="8" t="s">
        <v>21</v>
      </c>
      <c r="B10" s="8" t="s">
        <v>772</v>
      </c>
      <c r="C10" s="8" t="s">
        <v>783</v>
      </c>
      <c r="D10" s="88"/>
      <c r="E10" s="88"/>
      <c r="F10" s="18" t="n">
        <v>1700</v>
      </c>
      <c r="G10" s="88" t="s">
        <v>774</v>
      </c>
      <c r="H10" s="8" t="s">
        <v>775</v>
      </c>
      <c r="I10" s="11" t="s">
        <v>776</v>
      </c>
    </row>
    <row r="11" customFormat="false" ht="15" hidden="false" customHeight="true" outlineLevel="0" collapsed="false">
      <c r="A11" s="8" t="s">
        <v>23</v>
      </c>
      <c r="B11" s="8" t="s">
        <v>24</v>
      </c>
      <c r="C11" s="8" t="s">
        <v>784</v>
      </c>
      <c r="D11" s="88"/>
      <c r="E11" s="88"/>
      <c r="F11" s="18" t="n">
        <v>650</v>
      </c>
      <c r="G11" s="88" t="s">
        <v>774</v>
      </c>
      <c r="H11" s="8" t="s">
        <v>778</v>
      </c>
      <c r="I11" s="11"/>
    </row>
    <row r="12" customFormat="false" ht="15" hidden="false" customHeight="true" outlineLevel="0" collapsed="false">
      <c r="A12" s="8" t="s">
        <v>21</v>
      </c>
      <c r="B12" s="8" t="s">
        <v>767</v>
      </c>
      <c r="C12" s="8" t="s">
        <v>779</v>
      </c>
      <c r="D12" s="88"/>
      <c r="E12" s="88"/>
      <c r="F12" s="18" t="n">
        <v>0</v>
      </c>
      <c r="G12" s="88" t="s">
        <v>774</v>
      </c>
      <c r="H12" s="8" t="s">
        <v>770</v>
      </c>
      <c r="I12" s="11" t="s">
        <v>785</v>
      </c>
    </row>
    <row r="13" customFormat="false" ht="27.75" hidden="false" customHeight="true" outlineLevel="0" collapsed="false">
      <c r="A13" s="8" t="s">
        <v>13</v>
      </c>
      <c r="B13" s="8" t="s">
        <v>767</v>
      </c>
      <c r="C13" s="8" t="s">
        <v>786</v>
      </c>
      <c r="D13" s="88"/>
      <c r="E13" s="88"/>
      <c r="F13" s="18" t="n">
        <v>17600</v>
      </c>
      <c r="G13" s="88" t="s">
        <v>769</v>
      </c>
      <c r="H13" s="8" t="s">
        <v>770</v>
      </c>
      <c r="I13" s="12" t="s">
        <v>787</v>
      </c>
    </row>
    <row r="14" customFormat="false" ht="15" hidden="false" customHeight="true" outlineLevel="0" collapsed="false">
      <c r="A14" s="8" t="s">
        <v>13</v>
      </c>
      <c r="B14" s="8" t="s">
        <v>767</v>
      </c>
      <c r="C14" s="8" t="s">
        <v>788</v>
      </c>
      <c r="D14" s="88"/>
      <c r="E14" s="88"/>
      <c r="F14" s="18" t="n">
        <v>0</v>
      </c>
      <c r="G14" s="88" t="s">
        <v>774</v>
      </c>
      <c r="H14" s="8" t="s">
        <v>770</v>
      </c>
      <c r="I14" s="11" t="s">
        <v>789</v>
      </c>
    </row>
    <row r="15" customFormat="false" ht="15" hidden="false" customHeight="true" outlineLevel="0" collapsed="false">
      <c r="A15" s="8" t="s">
        <v>10</v>
      </c>
      <c r="B15" s="8" t="s">
        <v>790</v>
      </c>
      <c r="C15" s="8" t="s">
        <v>791</v>
      </c>
      <c r="D15" s="88" t="n">
        <v>230</v>
      </c>
      <c r="E15" s="18" t="n">
        <v>66.49</v>
      </c>
      <c r="F15" s="18" t="n">
        <v>15292.7</v>
      </c>
      <c r="G15" s="88" t="s">
        <v>792</v>
      </c>
      <c r="H15" s="8" t="s">
        <v>793</v>
      </c>
      <c r="I15" s="11"/>
    </row>
    <row r="16" customFormat="false" ht="15" hidden="false" customHeight="true" outlineLevel="0" collapsed="false">
      <c r="A16" s="8" t="s">
        <v>10</v>
      </c>
      <c r="B16" s="8" t="s">
        <v>790</v>
      </c>
      <c r="C16" s="8" t="s">
        <v>794</v>
      </c>
      <c r="D16" s="88" t="n">
        <v>18</v>
      </c>
      <c r="E16" s="18" t="n">
        <v>58.09</v>
      </c>
      <c r="F16" s="18" t="n">
        <v>1045.62</v>
      </c>
      <c r="G16" s="88" t="s">
        <v>792</v>
      </c>
      <c r="H16" s="8" t="s">
        <v>793</v>
      </c>
      <c r="I16" s="11"/>
    </row>
    <row r="17" customFormat="false" ht="27.75" hidden="false" customHeight="true" outlineLevel="0" collapsed="false">
      <c r="A17" s="8" t="s">
        <v>10</v>
      </c>
      <c r="B17" s="8" t="s">
        <v>790</v>
      </c>
      <c r="C17" s="8" t="s">
        <v>795</v>
      </c>
      <c r="D17" s="88" t="n">
        <v>15</v>
      </c>
      <c r="E17" s="18" t="n">
        <v>72.25</v>
      </c>
      <c r="F17" s="18" t="n">
        <v>1083.75</v>
      </c>
      <c r="G17" s="88" t="s">
        <v>792</v>
      </c>
      <c r="H17" s="8" t="s">
        <v>793</v>
      </c>
      <c r="I17" s="11" t="s">
        <v>796</v>
      </c>
    </row>
    <row r="18" customFormat="false" ht="15" hidden="false" customHeight="true" outlineLevel="0" collapsed="false">
      <c r="A18" s="8" t="s">
        <v>10</v>
      </c>
      <c r="B18" s="8" t="s">
        <v>790</v>
      </c>
      <c r="C18" s="8" t="s">
        <v>797</v>
      </c>
      <c r="D18" s="88" t="n">
        <v>15</v>
      </c>
      <c r="E18" s="18" t="n">
        <v>59.89</v>
      </c>
      <c r="F18" s="18" t="n">
        <v>898.35</v>
      </c>
      <c r="G18" s="88" t="s">
        <v>792</v>
      </c>
      <c r="H18" s="8" t="s">
        <v>793</v>
      </c>
      <c r="I18" s="11"/>
    </row>
    <row r="19" customFormat="false" ht="15" hidden="false" customHeight="true" outlineLevel="0" collapsed="false">
      <c r="A19" s="8" t="s">
        <v>10</v>
      </c>
      <c r="B19" s="8" t="s">
        <v>790</v>
      </c>
      <c r="C19" s="8" t="s">
        <v>798</v>
      </c>
      <c r="D19" s="88" t="n">
        <v>24</v>
      </c>
      <c r="E19" s="18" t="n">
        <v>32.08</v>
      </c>
      <c r="F19" s="18" t="n">
        <v>770</v>
      </c>
      <c r="G19" s="88" t="s">
        <v>792</v>
      </c>
      <c r="H19" s="8" t="s">
        <v>793</v>
      </c>
      <c r="I19" s="11"/>
    </row>
    <row r="20" customFormat="false" ht="15" hidden="false" customHeight="true" outlineLevel="0" collapsed="false">
      <c r="A20" s="8" t="s">
        <v>10</v>
      </c>
      <c r="B20" s="8" t="s">
        <v>790</v>
      </c>
      <c r="C20" s="8" t="s">
        <v>799</v>
      </c>
      <c r="D20" s="88" t="n">
        <v>6</v>
      </c>
      <c r="E20" s="18" t="n">
        <v>10.25</v>
      </c>
      <c r="F20" s="18" t="n">
        <v>61.5</v>
      </c>
      <c r="G20" s="88" t="s">
        <v>792</v>
      </c>
      <c r="H20" s="8" t="s">
        <v>793</v>
      </c>
      <c r="I20" s="11"/>
    </row>
    <row r="21" customFormat="false" ht="27.75" hidden="false" customHeight="true" outlineLevel="0" collapsed="false">
      <c r="A21" s="8" t="s">
        <v>10</v>
      </c>
      <c r="B21" s="8" t="s">
        <v>790</v>
      </c>
      <c r="C21" s="8" t="s">
        <v>800</v>
      </c>
      <c r="D21" s="88" t="n">
        <v>266</v>
      </c>
      <c r="E21" s="18" t="n">
        <v>28.4</v>
      </c>
      <c r="F21" s="18" t="n">
        <v>7554.4</v>
      </c>
      <c r="G21" s="88" t="s">
        <v>792</v>
      </c>
      <c r="H21" s="8" t="s">
        <v>793</v>
      </c>
      <c r="I21" s="11" t="s">
        <v>801</v>
      </c>
    </row>
    <row r="22" customFormat="false" ht="15" hidden="false" customHeight="true" outlineLevel="0" collapsed="false">
      <c r="A22" s="8" t="s">
        <v>10</v>
      </c>
      <c r="B22" s="8" t="s">
        <v>790</v>
      </c>
      <c r="C22" s="8" t="s">
        <v>802</v>
      </c>
      <c r="D22" s="88" t="n">
        <v>16</v>
      </c>
      <c r="E22" s="18" t="n">
        <v>7.87</v>
      </c>
      <c r="F22" s="18" t="n">
        <v>125.92</v>
      </c>
      <c r="G22" s="88" t="s">
        <v>792</v>
      </c>
      <c r="H22" s="8" t="s">
        <v>793</v>
      </c>
      <c r="I22" s="11" t="s">
        <v>803</v>
      </c>
    </row>
    <row r="23" customFormat="false" ht="15" hidden="false" customHeight="true" outlineLevel="0" collapsed="false">
      <c r="A23" s="8" t="s">
        <v>10</v>
      </c>
      <c r="B23" s="8" t="s">
        <v>790</v>
      </c>
      <c r="C23" s="8" t="s">
        <v>804</v>
      </c>
      <c r="D23" s="88" t="n">
        <v>1</v>
      </c>
      <c r="E23" s="18" t="n">
        <v>15</v>
      </c>
      <c r="F23" s="18" t="n">
        <v>15</v>
      </c>
      <c r="G23" s="88" t="s">
        <v>792</v>
      </c>
      <c r="H23" s="8" t="s">
        <v>793</v>
      </c>
      <c r="I23" s="11"/>
    </row>
    <row r="24" customFormat="false" ht="15" hidden="false" customHeight="true" outlineLevel="0" collapsed="false">
      <c r="A24" s="8" t="s">
        <v>10</v>
      </c>
      <c r="B24" s="8" t="s">
        <v>790</v>
      </c>
      <c r="C24" s="8" t="s">
        <v>805</v>
      </c>
      <c r="D24" s="88" t="n">
        <v>1</v>
      </c>
      <c r="E24" s="18" t="n">
        <v>10.25</v>
      </c>
      <c r="F24" s="18" t="n">
        <v>10.25</v>
      </c>
      <c r="G24" s="88" t="s">
        <v>792</v>
      </c>
      <c r="H24" s="8" t="s">
        <v>793</v>
      </c>
      <c r="I24" s="11"/>
    </row>
    <row r="25" customFormat="false" ht="15" hidden="false" customHeight="true" outlineLevel="0" collapsed="false">
      <c r="A25" s="8" t="s">
        <v>10</v>
      </c>
      <c r="B25" s="8" t="s">
        <v>790</v>
      </c>
      <c r="C25" s="8" t="s">
        <v>806</v>
      </c>
      <c r="D25" s="88"/>
      <c r="E25" s="88"/>
      <c r="F25" s="18" t="n">
        <v>5371.5</v>
      </c>
      <c r="G25" s="88" t="s">
        <v>765</v>
      </c>
      <c r="H25" s="8" t="s">
        <v>793</v>
      </c>
      <c r="I25" s="11" t="s">
        <v>807</v>
      </c>
    </row>
    <row r="26" customFormat="false" ht="27.75" hidden="false" customHeight="true" outlineLevel="0" collapsed="false">
      <c r="A26" s="8" t="s">
        <v>16</v>
      </c>
      <c r="B26" s="8" t="s">
        <v>582</v>
      </c>
      <c r="C26" s="8" t="s">
        <v>808</v>
      </c>
      <c r="D26" s="88"/>
      <c r="E26" s="88"/>
      <c r="F26" s="18" t="n">
        <v>5000</v>
      </c>
      <c r="G26" s="88" t="s">
        <v>17</v>
      </c>
      <c r="H26" s="8" t="s">
        <v>809</v>
      </c>
      <c r="I26" s="11" t="s">
        <v>810</v>
      </c>
    </row>
    <row r="27" customFormat="false" ht="15" hidden="false" customHeight="true" outlineLevel="0" collapsed="false">
      <c r="A27" s="8" t="s">
        <v>16</v>
      </c>
      <c r="B27" s="8" t="s">
        <v>14</v>
      </c>
      <c r="C27" s="8" t="s">
        <v>811</v>
      </c>
      <c r="D27" s="88"/>
      <c r="E27" s="88"/>
      <c r="F27" s="18" t="n">
        <v>250</v>
      </c>
      <c r="G27" s="88" t="s">
        <v>582</v>
      </c>
      <c r="H27" s="8" t="s">
        <v>812</v>
      </c>
      <c r="I27" s="8" t="s">
        <v>813</v>
      </c>
    </row>
    <row r="28" customFormat="false" ht="15" hidden="false" customHeight="true" outlineLevel="0" collapsed="false">
      <c r="A28" s="8" t="s">
        <v>16</v>
      </c>
      <c r="B28" s="8" t="s">
        <v>565</v>
      </c>
      <c r="C28" s="8" t="s">
        <v>814</v>
      </c>
      <c r="D28" s="88" t="n">
        <v>1</v>
      </c>
      <c r="E28" s="18" t="n">
        <v>62.9</v>
      </c>
      <c r="F28" s="18" t="n">
        <v>62.9</v>
      </c>
      <c r="G28" s="88" t="s">
        <v>774</v>
      </c>
      <c r="H28" s="8" t="s">
        <v>815</v>
      </c>
      <c r="I28" s="8" t="s">
        <v>816</v>
      </c>
    </row>
    <row r="29" customFormat="false" ht="15" hidden="false" customHeight="true" outlineLevel="0" collapsed="false">
      <c r="A29" s="84" t="s">
        <v>23</v>
      </c>
      <c r="B29" s="84" t="s">
        <v>598</v>
      </c>
      <c r="C29" s="8" t="s">
        <v>817</v>
      </c>
      <c r="D29" s="84"/>
      <c r="E29" s="84"/>
      <c r="F29" s="84" t="n">
        <v>481.26</v>
      </c>
      <c r="G29" s="84" t="s">
        <v>774</v>
      </c>
      <c r="H29" s="84" t="s">
        <v>818</v>
      </c>
      <c r="I29" s="8" t="s">
        <v>819</v>
      </c>
    </row>
    <row r="30" customFormat="false" ht="15" hidden="false" customHeight="true" outlineLevel="0" collapsed="false">
      <c r="A30" s="84"/>
      <c r="B30" s="84"/>
      <c r="C30" s="8" t="s">
        <v>820</v>
      </c>
      <c r="D30" s="84"/>
      <c r="E30" s="84"/>
      <c r="F30" s="84" t="n">
        <v>0</v>
      </c>
      <c r="G30" s="84" t="s">
        <v>774</v>
      </c>
      <c r="H30" s="84" t="s">
        <v>818</v>
      </c>
      <c r="I30" s="8" t="s">
        <v>821</v>
      </c>
    </row>
    <row r="31" customFormat="false" ht="68.25" hidden="false" customHeight="true" outlineLevel="0" collapsed="false">
      <c r="A31" s="84" t="s">
        <v>16</v>
      </c>
      <c r="B31" s="84" t="s">
        <v>11</v>
      </c>
      <c r="C31" s="8" t="s">
        <v>822</v>
      </c>
      <c r="D31" s="84"/>
      <c r="E31" s="84"/>
      <c r="F31" s="84" t="n">
        <v>141.66</v>
      </c>
      <c r="G31" s="84" t="s">
        <v>774</v>
      </c>
      <c r="H31" s="84" t="s">
        <v>554</v>
      </c>
      <c r="I31" s="8" t="s">
        <v>823</v>
      </c>
    </row>
    <row r="32" customFormat="false" ht="54.75" hidden="false" customHeight="true" outlineLevel="0" collapsed="false">
      <c r="A32" s="84" t="s">
        <v>16</v>
      </c>
      <c r="B32" s="84" t="s">
        <v>11</v>
      </c>
      <c r="C32" s="8" t="s">
        <v>824</v>
      </c>
      <c r="D32" s="84"/>
      <c r="E32" s="84"/>
      <c r="F32" s="99" t="n">
        <v>141.66</v>
      </c>
      <c r="G32" s="84" t="s">
        <v>430</v>
      </c>
      <c r="H32" s="84" t="s">
        <v>825</v>
      </c>
      <c r="I32" s="8" t="s">
        <v>826</v>
      </c>
    </row>
    <row r="33" customFormat="false" ht="15" hidden="false" customHeight="true" outlineLevel="0" collapsed="false">
      <c r="A33" s="84" t="s">
        <v>16</v>
      </c>
      <c r="B33" s="84" t="s">
        <v>827</v>
      </c>
      <c r="C33" s="8" t="s">
        <v>828</v>
      </c>
      <c r="D33" s="84"/>
      <c r="E33" s="84"/>
      <c r="F33" s="84" t="n">
        <v>530</v>
      </c>
      <c r="G33" s="84" t="s">
        <v>829</v>
      </c>
      <c r="H33" s="84" t="s">
        <v>830</v>
      </c>
      <c r="I33" s="8" t="s">
        <v>831</v>
      </c>
    </row>
    <row r="34" customFormat="false" ht="54.75" hidden="false" customHeight="true" outlineLevel="0" collapsed="false">
      <c r="A34" s="84" t="s">
        <v>26</v>
      </c>
      <c r="B34" s="84" t="s">
        <v>832</v>
      </c>
      <c r="C34" s="8" t="s">
        <v>833</v>
      </c>
      <c r="D34" s="84"/>
      <c r="E34" s="84"/>
      <c r="F34" s="84" t="n">
        <v>680</v>
      </c>
      <c r="G34" s="84" t="s">
        <v>549</v>
      </c>
      <c r="H34" s="84" t="s">
        <v>430</v>
      </c>
      <c r="I34" s="8" t="s">
        <v>834</v>
      </c>
    </row>
    <row r="35" customFormat="false" ht="15" hidden="false" customHeight="true" outlineLevel="0" collapsed="false">
      <c r="A35" s="8" t="s">
        <v>29</v>
      </c>
      <c r="B35" s="8" t="s">
        <v>14</v>
      </c>
      <c r="C35" s="8" t="s">
        <v>835</v>
      </c>
      <c r="D35" s="84"/>
      <c r="E35" s="84"/>
      <c r="F35" s="18" t="n">
        <v>1600</v>
      </c>
      <c r="G35" s="84" t="s">
        <v>769</v>
      </c>
      <c r="H35" s="84" t="s">
        <v>430</v>
      </c>
      <c r="I35" s="20" t="s">
        <v>836</v>
      </c>
    </row>
    <row r="36" customFormat="false" ht="15" hidden="false" customHeight="true" outlineLevel="0" collapsed="false">
      <c r="A36" s="8" t="s">
        <v>29</v>
      </c>
      <c r="B36" s="8" t="s">
        <v>14</v>
      </c>
      <c r="C36" s="8" t="s">
        <v>837</v>
      </c>
      <c r="D36" s="84"/>
      <c r="E36" s="84"/>
      <c r="F36" s="18" t="n">
        <v>0</v>
      </c>
      <c r="G36" s="84" t="s">
        <v>774</v>
      </c>
      <c r="H36" s="84" t="s">
        <v>838</v>
      </c>
      <c r="I36" s="20" t="s">
        <v>839</v>
      </c>
    </row>
    <row r="37" customFormat="false" ht="15" hidden="false" customHeight="true" outlineLevel="0" collapsed="false">
      <c r="A37" s="8" t="s">
        <v>29</v>
      </c>
      <c r="B37" s="8" t="s">
        <v>14</v>
      </c>
      <c r="C37" s="8" t="s">
        <v>840</v>
      </c>
      <c r="D37" s="84"/>
      <c r="E37" s="84"/>
      <c r="F37" s="18" t="n">
        <v>260</v>
      </c>
      <c r="G37" s="84" t="s">
        <v>549</v>
      </c>
      <c r="H37" s="84" t="s">
        <v>430</v>
      </c>
      <c r="I37" s="20" t="s">
        <v>841</v>
      </c>
    </row>
    <row r="38" customFormat="false" ht="54.75" hidden="false" customHeight="true" outlineLevel="0" collapsed="false">
      <c r="A38" s="8" t="s">
        <v>26</v>
      </c>
      <c r="B38" s="8" t="s">
        <v>14</v>
      </c>
      <c r="C38" s="8" t="s">
        <v>842</v>
      </c>
      <c r="D38" s="84"/>
      <c r="E38" s="84"/>
      <c r="F38" s="18" t="n">
        <v>40</v>
      </c>
      <c r="G38" s="84" t="s">
        <v>774</v>
      </c>
      <c r="H38" s="84" t="s">
        <v>843</v>
      </c>
      <c r="I38" s="20" t="s">
        <v>844</v>
      </c>
    </row>
    <row r="39" customFormat="false" ht="15" hidden="false" customHeight="true" outlineLevel="0" collapsed="false">
      <c r="A39" s="84" t="s">
        <v>16</v>
      </c>
      <c r="B39" s="84" t="s">
        <v>14</v>
      </c>
      <c r="C39" s="8" t="s">
        <v>845</v>
      </c>
      <c r="D39" s="84"/>
      <c r="E39" s="84"/>
      <c r="F39" s="88" t="n">
        <v>1260</v>
      </c>
      <c r="G39" s="84" t="s">
        <v>846</v>
      </c>
      <c r="H39" s="84" t="s">
        <v>430</v>
      </c>
      <c r="I39" s="8" t="s">
        <v>847</v>
      </c>
    </row>
    <row r="40" customFormat="false" ht="54.75" hidden="false" customHeight="true" outlineLevel="0" collapsed="false">
      <c r="A40" s="84" t="s">
        <v>16</v>
      </c>
      <c r="B40" s="84" t="s">
        <v>14</v>
      </c>
      <c r="C40" s="8" t="s">
        <v>848</v>
      </c>
      <c r="D40" s="84"/>
      <c r="E40" s="84"/>
      <c r="F40" s="88" t="n">
        <v>180</v>
      </c>
      <c r="G40" s="84" t="s">
        <v>846</v>
      </c>
      <c r="H40" s="84" t="s">
        <v>430</v>
      </c>
      <c r="I40" s="8" t="s">
        <v>849</v>
      </c>
    </row>
    <row r="41" customFormat="false" ht="81.75" hidden="false" customHeight="true" outlineLevel="0" collapsed="false">
      <c r="A41" s="84" t="s">
        <v>16</v>
      </c>
      <c r="B41" s="84" t="s">
        <v>14</v>
      </c>
      <c r="C41" s="8" t="s">
        <v>850</v>
      </c>
      <c r="D41" s="84"/>
      <c r="E41" s="84"/>
      <c r="F41" s="88" t="n">
        <v>315</v>
      </c>
      <c r="G41" s="84" t="s">
        <v>846</v>
      </c>
      <c r="H41" s="84" t="s">
        <v>430</v>
      </c>
      <c r="I41" s="8" t="s">
        <v>851</v>
      </c>
    </row>
    <row r="42" customFormat="false" ht="41.25" hidden="false" customHeight="true" outlineLevel="0" collapsed="false">
      <c r="A42" s="84" t="s">
        <v>16</v>
      </c>
      <c r="B42" s="84" t="s">
        <v>14</v>
      </c>
      <c r="C42" s="8" t="s">
        <v>852</v>
      </c>
      <c r="D42" s="84"/>
      <c r="E42" s="84"/>
      <c r="F42" s="88" t="n">
        <v>360</v>
      </c>
      <c r="G42" s="84" t="s">
        <v>846</v>
      </c>
      <c r="H42" s="84" t="s">
        <v>430</v>
      </c>
      <c r="I42" s="8" t="s">
        <v>853</v>
      </c>
    </row>
    <row r="43" customFormat="false" ht="15" hidden="false" customHeight="true" outlineLevel="0" collapsed="false">
      <c r="C43" s="100"/>
      <c r="F43" s="101"/>
    </row>
    <row r="44" customFormat="false" ht="54.75" hidden="false" customHeight="true" outlineLevel="0" collapsed="false">
      <c r="A44" s="84" t="s">
        <v>16</v>
      </c>
      <c r="B44" s="84" t="s">
        <v>11</v>
      </c>
      <c r="C44" s="8" t="s">
        <v>854</v>
      </c>
      <c r="D44" s="84"/>
      <c r="E44" s="84"/>
      <c r="F44" s="88" t="n">
        <v>47.22</v>
      </c>
      <c r="G44" s="84" t="s">
        <v>855</v>
      </c>
      <c r="H44" s="84" t="s">
        <v>856</v>
      </c>
      <c r="I44" s="8" t="s">
        <v>857</v>
      </c>
    </row>
    <row r="45" customFormat="false" ht="15" hidden="false" customHeight="true" outlineLevel="0" collapsed="false">
      <c r="A45" s="84" t="s">
        <v>16</v>
      </c>
      <c r="B45" s="84" t="s">
        <v>483</v>
      </c>
      <c r="C45" s="8" t="s">
        <v>858</v>
      </c>
      <c r="D45" s="84"/>
      <c r="E45" s="84"/>
      <c r="F45" s="88" t="n">
        <v>102.1</v>
      </c>
      <c r="G45" s="84" t="s">
        <v>774</v>
      </c>
      <c r="H45" s="84" t="s">
        <v>859</v>
      </c>
      <c r="I45" s="8" t="s">
        <v>860</v>
      </c>
    </row>
    <row r="46" customFormat="false" ht="27.75" hidden="false" customHeight="true" outlineLevel="0" collapsed="false">
      <c r="A46" s="84" t="s">
        <v>16</v>
      </c>
      <c r="B46" s="84" t="s">
        <v>483</v>
      </c>
      <c r="C46" s="8" t="s">
        <v>861</v>
      </c>
      <c r="D46" s="84"/>
      <c r="E46" s="84"/>
      <c r="F46" s="88" t="n">
        <v>42.48</v>
      </c>
      <c r="G46" s="84" t="s">
        <v>774</v>
      </c>
      <c r="H46" s="84" t="s">
        <v>859</v>
      </c>
      <c r="I46" s="8" t="s">
        <v>862</v>
      </c>
    </row>
    <row r="47" customFormat="false" ht="27.75" hidden="false" customHeight="true" outlineLevel="0" collapsed="false">
      <c r="A47" s="84" t="s">
        <v>16</v>
      </c>
      <c r="B47" s="84" t="s">
        <v>483</v>
      </c>
      <c r="C47" s="8" t="s">
        <v>863</v>
      </c>
      <c r="D47" s="84"/>
      <c r="E47" s="84"/>
      <c r="F47" s="88" t="n">
        <v>30.79</v>
      </c>
      <c r="G47" s="84" t="s">
        <v>774</v>
      </c>
      <c r="H47" s="84" t="s">
        <v>859</v>
      </c>
      <c r="I47" s="8" t="s">
        <v>860</v>
      </c>
    </row>
    <row r="48" customFormat="false" ht="27.75" hidden="false" customHeight="true" outlineLevel="0" collapsed="false">
      <c r="A48" s="84" t="s">
        <v>16</v>
      </c>
      <c r="B48" s="84" t="s">
        <v>483</v>
      </c>
      <c r="C48" s="8" t="s">
        <v>864</v>
      </c>
      <c r="D48" s="84"/>
      <c r="E48" s="84"/>
      <c r="F48" s="88" t="n">
        <v>10.86</v>
      </c>
      <c r="G48" s="84" t="s">
        <v>774</v>
      </c>
      <c r="H48" s="84" t="s">
        <v>859</v>
      </c>
      <c r="I48" s="8" t="s">
        <v>862</v>
      </c>
    </row>
    <row r="49" customFormat="false" ht="27.75" hidden="false" customHeight="true" outlineLevel="0" collapsed="false">
      <c r="A49" s="84" t="s">
        <v>16</v>
      </c>
      <c r="B49" s="84" t="s">
        <v>483</v>
      </c>
      <c r="C49" s="8" t="s">
        <v>865</v>
      </c>
      <c r="D49" s="84"/>
      <c r="E49" s="84"/>
      <c r="F49" s="88" t="n">
        <v>17.88</v>
      </c>
      <c r="G49" s="84" t="s">
        <v>774</v>
      </c>
      <c r="H49" s="84" t="s">
        <v>859</v>
      </c>
      <c r="I49" s="8" t="s">
        <v>862</v>
      </c>
    </row>
    <row r="50" customFormat="false" ht="27.75" hidden="false" customHeight="true" outlineLevel="0" collapsed="false">
      <c r="A50" s="84" t="s">
        <v>16</v>
      </c>
      <c r="B50" s="84" t="s">
        <v>483</v>
      </c>
      <c r="C50" s="8" t="s">
        <v>866</v>
      </c>
      <c r="D50" s="84"/>
      <c r="E50" s="84"/>
      <c r="F50" s="88" t="n">
        <v>14.81</v>
      </c>
      <c r="G50" s="84" t="s">
        <v>774</v>
      </c>
      <c r="H50" s="84" t="s">
        <v>859</v>
      </c>
      <c r="I50" s="8" t="s">
        <v>862</v>
      </c>
    </row>
    <row r="51" customFormat="false" ht="27.75" hidden="false" customHeight="true" outlineLevel="0" collapsed="false">
      <c r="A51" s="84" t="s">
        <v>16</v>
      </c>
      <c r="B51" s="84" t="s">
        <v>483</v>
      </c>
      <c r="C51" s="8" t="s">
        <v>867</v>
      </c>
      <c r="D51" s="84"/>
      <c r="E51" s="84"/>
      <c r="F51" s="88" t="n">
        <v>82.19</v>
      </c>
      <c r="G51" s="84" t="s">
        <v>774</v>
      </c>
      <c r="H51" s="84" t="s">
        <v>859</v>
      </c>
      <c r="I51" s="8" t="s">
        <v>860</v>
      </c>
    </row>
    <row r="52" customFormat="false" ht="27.75" hidden="false" customHeight="true" outlineLevel="0" collapsed="false">
      <c r="A52" s="84" t="s">
        <v>16</v>
      </c>
      <c r="B52" s="84" t="s">
        <v>483</v>
      </c>
      <c r="C52" s="8" t="s">
        <v>868</v>
      </c>
      <c r="D52" s="84"/>
      <c r="E52" s="84"/>
      <c r="F52" s="88" t="n">
        <v>85.08</v>
      </c>
      <c r="G52" s="84" t="s">
        <v>774</v>
      </c>
      <c r="H52" s="84" t="s">
        <v>859</v>
      </c>
      <c r="I52" s="8" t="s">
        <v>862</v>
      </c>
    </row>
    <row r="53" customFormat="false" ht="27.75" hidden="false" customHeight="true" outlineLevel="0" collapsed="false">
      <c r="A53" s="84" t="s">
        <v>16</v>
      </c>
      <c r="B53" s="84" t="s">
        <v>483</v>
      </c>
      <c r="C53" s="8" t="s">
        <v>869</v>
      </c>
      <c r="D53" s="84"/>
      <c r="E53" s="84"/>
      <c r="F53" s="88" t="n">
        <v>182.74</v>
      </c>
      <c r="G53" s="84" t="s">
        <v>774</v>
      </c>
      <c r="H53" s="84" t="s">
        <v>859</v>
      </c>
      <c r="I53" s="8" t="s">
        <v>870</v>
      </c>
    </row>
    <row r="54" customFormat="false" ht="27.75" hidden="false" customHeight="true" outlineLevel="0" collapsed="false">
      <c r="A54" s="84" t="s">
        <v>16</v>
      </c>
      <c r="B54" s="84" t="s">
        <v>483</v>
      </c>
      <c r="C54" s="8" t="s">
        <v>871</v>
      </c>
      <c r="D54" s="84"/>
      <c r="E54" s="84"/>
      <c r="F54" s="88" t="n">
        <v>30.3</v>
      </c>
      <c r="G54" s="84" t="s">
        <v>774</v>
      </c>
      <c r="H54" s="84" t="s">
        <v>859</v>
      </c>
      <c r="I54" s="8" t="s">
        <v>872</v>
      </c>
    </row>
    <row r="55" customFormat="false" ht="27.75" hidden="false" customHeight="true" outlineLevel="0" collapsed="false">
      <c r="A55" s="84" t="s">
        <v>16</v>
      </c>
      <c r="B55" s="84" t="s">
        <v>483</v>
      </c>
      <c r="C55" s="8" t="s">
        <v>873</v>
      </c>
      <c r="D55" s="84"/>
      <c r="E55" s="84"/>
      <c r="F55" s="88" t="n">
        <v>82.19</v>
      </c>
      <c r="G55" s="84" t="s">
        <v>774</v>
      </c>
      <c r="H55" s="84" t="s">
        <v>859</v>
      </c>
      <c r="I55" s="8" t="s">
        <v>862</v>
      </c>
    </row>
    <row r="56" customFormat="false" ht="27.75" hidden="false" customHeight="true" outlineLevel="0" collapsed="false">
      <c r="A56" s="84" t="s">
        <v>16</v>
      </c>
      <c r="B56" s="84" t="s">
        <v>483</v>
      </c>
      <c r="C56" s="8" t="s">
        <v>874</v>
      </c>
      <c r="D56" s="84"/>
      <c r="E56" s="84"/>
      <c r="F56" s="88" t="n">
        <v>22.66</v>
      </c>
      <c r="G56" s="84" t="s">
        <v>774</v>
      </c>
      <c r="H56" s="84" t="s">
        <v>859</v>
      </c>
      <c r="I56" s="8" t="s">
        <v>860</v>
      </c>
    </row>
    <row r="57" customFormat="false" ht="27.75" hidden="false" customHeight="true" outlineLevel="0" collapsed="false">
      <c r="A57" s="84" t="s">
        <v>16</v>
      </c>
      <c r="B57" s="84" t="s">
        <v>483</v>
      </c>
      <c r="C57" s="8" t="s">
        <v>875</v>
      </c>
      <c r="D57" s="84"/>
      <c r="E57" s="84"/>
      <c r="F57" s="88" t="n">
        <v>53.26</v>
      </c>
      <c r="G57" s="84" t="s">
        <v>774</v>
      </c>
      <c r="H57" s="84" t="s">
        <v>859</v>
      </c>
      <c r="I57" s="8" t="s">
        <v>860</v>
      </c>
    </row>
    <row r="58" customFormat="false" ht="27.75" hidden="false" customHeight="true" outlineLevel="0" collapsed="false">
      <c r="A58" s="84" t="s">
        <v>16</v>
      </c>
      <c r="B58" s="84" t="s">
        <v>483</v>
      </c>
      <c r="C58" s="8" t="s">
        <v>876</v>
      </c>
      <c r="D58" s="84"/>
      <c r="E58" s="84"/>
      <c r="F58" s="88" t="n">
        <v>5.36</v>
      </c>
      <c r="G58" s="84" t="s">
        <v>774</v>
      </c>
      <c r="H58" s="84" t="s">
        <v>859</v>
      </c>
      <c r="I58" s="8" t="s">
        <v>862</v>
      </c>
    </row>
    <row r="59" customFormat="false" ht="27.75" hidden="false" customHeight="true" outlineLevel="0" collapsed="false">
      <c r="A59" s="84" t="s">
        <v>16</v>
      </c>
      <c r="B59" s="84" t="s">
        <v>664</v>
      </c>
      <c r="C59" s="8" t="s">
        <v>877</v>
      </c>
      <c r="D59" s="84"/>
      <c r="E59" s="84"/>
      <c r="F59" s="88" t="n">
        <v>227.98</v>
      </c>
      <c r="G59" s="84" t="s">
        <v>774</v>
      </c>
      <c r="H59" s="84" t="s">
        <v>859</v>
      </c>
      <c r="I59" s="8" t="s">
        <v>878</v>
      </c>
    </row>
    <row r="60" customFormat="false" ht="27.75" hidden="false" customHeight="true" outlineLevel="0" collapsed="false">
      <c r="A60" s="84" t="s">
        <v>16</v>
      </c>
      <c r="B60" s="84" t="s">
        <v>664</v>
      </c>
      <c r="C60" s="8" t="s">
        <v>879</v>
      </c>
      <c r="D60" s="84"/>
      <c r="E60" s="84"/>
      <c r="F60" s="88" t="n">
        <v>34.2</v>
      </c>
      <c r="G60" s="84" t="s">
        <v>774</v>
      </c>
      <c r="H60" s="84" t="s">
        <v>859</v>
      </c>
      <c r="I60" s="8" t="s">
        <v>880</v>
      </c>
    </row>
    <row r="61" customFormat="false" ht="27.75" hidden="false" customHeight="true" outlineLevel="0" collapsed="false">
      <c r="A61" s="84" t="s">
        <v>16</v>
      </c>
      <c r="B61" s="84" t="s">
        <v>664</v>
      </c>
      <c r="C61" s="8" t="s">
        <v>881</v>
      </c>
      <c r="D61" s="84"/>
      <c r="E61" s="84"/>
      <c r="F61" s="88" t="n">
        <v>32.4</v>
      </c>
      <c r="G61" s="84" t="s">
        <v>774</v>
      </c>
      <c r="H61" s="84" t="s">
        <v>859</v>
      </c>
      <c r="I61" s="8" t="s">
        <v>880</v>
      </c>
    </row>
    <row r="62" customFormat="false" ht="27.75" hidden="false" customHeight="true" outlineLevel="0" collapsed="false">
      <c r="A62" s="84" t="s">
        <v>16</v>
      </c>
      <c r="B62" s="84" t="s">
        <v>664</v>
      </c>
      <c r="C62" s="8" t="s">
        <v>882</v>
      </c>
      <c r="D62" s="84"/>
      <c r="E62" s="84"/>
      <c r="F62" s="88" t="n">
        <v>42</v>
      </c>
      <c r="G62" s="84" t="s">
        <v>774</v>
      </c>
      <c r="H62" s="84" t="s">
        <v>859</v>
      </c>
      <c r="I62" s="8" t="s">
        <v>880</v>
      </c>
    </row>
    <row r="63" customFormat="false" ht="27.75" hidden="false" customHeight="true" outlineLevel="0" collapsed="false">
      <c r="A63" s="84" t="s">
        <v>16</v>
      </c>
      <c r="B63" s="84" t="s">
        <v>664</v>
      </c>
      <c r="C63" s="8" t="s">
        <v>883</v>
      </c>
      <c r="D63" s="84"/>
      <c r="E63" s="84"/>
      <c r="F63" s="88" t="n">
        <v>42</v>
      </c>
      <c r="G63" s="84" t="s">
        <v>774</v>
      </c>
      <c r="H63" s="84" t="s">
        <v>859</v>
      </c>
      <c r="I63" s="8" t="s">
        <v>880</v>
      </c>
    </row>
    <row r="64" customFormat="false" ht="27.75" hidden="false" customHeight="true" outlineLevel="0" collapsed="false">
      <c r="A64" s="84" t="s">
        <v>16</v>
      </c>
      <c r="B64" s="84" t="s">
        <v>483</v>
      </c>
      <c r="C64" s="8" t="s">
        <v>884</v>
      </c>
      <c r="D64" s="84"/>
      <c r="E64" s="84"/>
      <c r="F64" s="88" t="n">
        <v>82.19</v>
      </c>
      <c r="G64" s="84" t="s">
        <v>774</v>
      </c>
      <c r="H64" s="84" t="s">
        <v>859</v>
      </c>
      <c r="I64" s="8" t="s">
        <v>860</v>
      </c>
    </row>
    <row r="65" customFormat="false" ht="27.75" hidden="false" customHeight="true" outlineLevel="0" collapsed="false">
      <c r="A65" s="84" t="s">
        <v>16</v>
      </c>
      <c r="B65" s="84" t="s">
        <v>483</v>
      </c>
      <c r="C65" s="8" t="s">
        <v>885</v>
      </c>
      <c r="D65" s="84"/>
      <c r="E65" s="84"/>
      <c r="F65" s="88" t="n">
        <v>42.54</v>
      </c>
      <c r="G65" s="84" t="s">
        <v>774</v>
      </c>
      <c r="H65" s="84" t="s">
        <v>859</v>
      </c>
      <c r="I65" s="8" t="s">
        <v>862</v>
      </c>
    </row>
    <row r="66" customFormat="false" ht="15" hidden="false" customHeight="true" outlineLevel="0" collapsed="false">
      <c r="A66" s="84" t="s">
        <v>16</v>
      </c>
      <c r="B66" s="84" t="s">
        <v>483</v>
      </c>
      <c r="C66" s="8" t="s">
        <v>886</v>
      </c>
      <c r="D66" s="84"/>
      <c r="E66" s="84"/>
      <c r="F66" s="88" t="n">
        <v>18.29</v>
      </c>
      <c r="G66" s="84" t="s">
        <v>774</v>
      </c>
      <c r="H66" s="84" t="s">
        <v>859</v>
      </c>
      <c r="I66" s="8" t="s">
        <v>887</v>
      </c>
    </row>
    <row r="67" customFormat="false" ht="54.75" hidden="false" customHeight="true" outlineLevel="0" collapsed="false">
      <c r="A67" s="84" t="s">
        <v>16</v>
      </c>
      <c r="B67" s="84" t="s">
        <v>483</v>
      </c>
      <c r="C67" s="8" t="s">
        <v>888</v>
      </c>
      <c r="D67" s="84"/>
      <c r="E67" s="84"/>
      <c r="F67" s="88" t="n">
        <v>23.87</v>
      </c>
      <c r="G67" s="84" t="s">
        <v>774</v>
      </c>
      <c r="H67" s="84" t="s">
        <v>859</v>
      </c>
      <c r="I67" s="8" t="s">
        <v>887</v>
      </c>
    </row>
    <row r="68" customFormat="false" ht="15" hidden="false" customHeight="true" outlineLevel="0" collapsed="false">
      <c r="A68" s="84" t="s">
        <v>16</v>
      </c>
      <c r="B68" s="84" t="s">
        <v>483</v>
      </c>
      <c r="C68" s="8" t="s">
        <v>889</v>
      </c>
      <c r="D68" s="84"/>
      <c r="E68" s="84"/>
      <c r="F68" s="88" t="n">
        <v>59.87</v>
      </c>
      <c r="G68" s="84" t="s">
        <v>774</v>
      </c>
      <c r="H68" s="84" t="s">
        <v>859</v>
      </c>
      <c r="I68" s="8" t="s">
        <v>887</v>
      </c>
    </row>
    <row r="69" customFormat="false" ht="68.25" hidden="false" customHeight="true" outlineLevel="0" collapsed="false">
      <c r="A69" s="84" t="s">
        <v>16</v>
      </c>
      <c r="B69" s="84" t="s">
        <v>483</v>
      </c>
      <c r="C69" s="8" t="s">
        <v>890</v>
      </c>
      <c r="D69" s="84"/>
      <c r="E69" s="84"/>
      <c r="F69" s="88" t="n">
        <v>10.27</v>
      </c>
      <c r="G69" s="84" t="s">
        <v>774</v>
      </c>
      <c r="H69" s="84" t="s">
        <v>859</v>
      </c>
      <c r="I69" s="8" t="s">
        <v>887</v>
      </c>
    </row>
    <row r="70" customFormat="false" ht="68.25" hidden="false" customHeight="true" outlineLevel="0" collapsed="false">
      <c r="A70" s="84" t="s">
        <v>16</v>
      </c>
      <c r="B70" s="84" t="s">
        <v>483</v>
      </c>
      <c r="C70" s="8" t="s">
        <v>891</v>
      </c>
      <c r="D70" s="84"/>
      <c r="E70" s="84"/>
      <c r="F70" s="88" t="n">
        <v>44.78</v>
      </c>
      <c r="G70" s="84" t="s">
        <v>774</v>
      </c>
      <c r="H70" s="84" t="s">
        <v>859</v>
      </c>
      <c r="I70" s="8" t="s">
        <v>887</v>
      </c>
    </row>
    <row r="71" customFormat="false" ht="68.25" hidden="false" customHeight="true" outlineLevel="0" collapsed="false">
      <c r="A71" s="84" t="s">
        <v>16</v>
      </c>
      <c r="B71" s="84" t="s">
        <v>483</v>
      </c>
      <c r="C71" s="8" t="s">
        <v>892</v>
      </c>
      <c r="D71" s="84"/>
      <c r="E71" s="84"/>
      <c r="F71" s="88" t="n">
        <v>6.29</v>
      </c>
      <c r="G71" s="84" t="s">
        <v>774</v>
      </c>
      <c r="H71" s="84" t="s">
        <v>859</v>
      </c>
      <c r="I71" s="8" t="s">
        <v>887</v>
      </c>
    </row>
    <row r="72" customFormat="false" ht="68.25" hidden="false" customHeight="true" outlineLevel="0" collapsed="false">
      <c r="A72" s="84" t="s">
        <v>16</v>
      </c>
      <c r="B72" s="84" t="s">
        <v>483</v>
      </c>
      <c r="C72" s="8" t="s">
        <v>893</v>
      </c>
      <c r="D72" s="84"/>
      <c r="E72" s="84"/>
      <c r="F72" s="88" t="n">
        <v>138.24</v>
      </c>
      <c r="G72" s="84" t="s">
        <v>774</v>
      </c>
      <c r="H72" s="84" t="s">
        <v>859</v>
      </c>
      <c r="I72" s="8" t="s">
        <v>887</v>
      </c>
    </row>
    <row r="73" customFormat="false" ht="68.25" hidden="false" customHeight="true" outlineLevel="0" collapsed="false">
      <c r="A73" s="84" t="s">
        <v>16</v>
      </c>
      <c r="B73" s="84" t="s">
        <v>483</v>
      </c>
      <c r="C73" s="8" t="s">
        <v>894</v>
      </c>
      <c r="D73" s="84"/>
      <c r="E73" s="84"/>
      <c r="F73" s="88" t="n">
        <v>7.85</v>
      </c>
      <c r="G73" s="84" t="s">
        <v>774</v>
      </c>
      <c r="H73" s="84" t="s">
        <v>859</v>
      </c>
      <c r="I73" s="8" t="s">
        <v>887</v>
      </c>
    </row>
    <row r="74" customFormat="false" ht="15" hidden="false" customHeight="true" outlineLevel="0" collapsed="false">
      <c r="A74" s="84" t="s">
        <v>16</v>
      </c>
      <c r="B74" s="84" t="s">
        <v>14</v>
      </c>
      <c r="C74" s="8" t="s">
        <v>895</v>
      </c>
      <c r="D74" s="84"/>
      <c r="E74" s="84"/>
      <c r="F74" s="88" t="n">
        <v>800</v>
      </c>
      <c r="G74" s="84" t="s">
        <v>769</v>
      </c>
      <c r="H74" s="84" t="s">
        <v>896</v>
      </c>
      <c r="I74" s="8" t="s">
        <v>897</v>
      </c>
    </row>
    <row r="75" customFormat="false" ht="15" hidden="false" customHeight="true" outlineLevel="0" collapsed="false">
      <c r="A75" s="84" t="s">
        <v>16</v>
      </c>
      <c r="B75" s="84" t="s">
        <v>11</v>
      </c>
      <c r="C75" s="8" t="s">
        <v>898</v>
      </c>
      <c r="D75" s="84" t="n">
        <v>35</v>
      </c>
      <c r="E75" s="84" t="n">
        <v>69.21</v>
      </c>
      <c r="F75" s="88" t="n">
        <v>2422.35</v>
      </c>
      <c r="G75" s="84" t="s">
        <v>792</v>
      </c>
      <c r="H75" s="84" t="s">
        <v>899</v>
      </c>
      <c r="I75" s="8" t="s">
        <v>900</v>
      </c>
    </row>
    <row r="76" customFormat="false" ht="27.75" hidden="false" customHeight="true" outlineLevel="0" collapsed="false">
      <c r="A76" s="84" t="s">
        <v>16</v>
      </c>
      <c r="B76" s="84" t="s">
        <v>11</v>
      </c>
      <c r="C76" s="8" t="s">
        <v>901</v>
      </c>
      <c r="D76" s="84" t="n">
        <v>44</v>
      </c>
      <c r="E76" s="84" t="n">
        <v>34.02</v>
      </c>
      <c r="F76" s="88" t="n">
        <v>1496.88</v>
      </c>
      <c r="G76" s="84" t="s">
        <v>792</v>
      </c>
      <c r="H76" s="84" t="s">
        <v>899</v>
      </c>
      <c r="I76" s="8"/>
    </row>
    <row r="77" customFormat="false" ht="27.75" hidden="false" customHeight="true" outlineLevel="0" collapsed="false">
      <c r="A77" s="84" t="s">
        <v>16</v>
      </c>
      <c r="B77" s="84" t="s">
        <v>11</v>
      </c>
      <c r="C77" s="8" t="s">
        <v>902</v>
      </c>
      <c r="D77" s="84" t="n">
        <v>5</v>
      </c>
      <c r="E77" s="84" t="n">
        <v>7.87</v>
      </c>
      <c r="F77" s="88" t="n">
        <v>39.35</v>
      </c>
      <c r="G77" s="84" t="s">
        <v>792</v>
      </c>
      <c r="H77" s="84" t="s">
        <v>899</v>
      </c>
      <c r="I77" s="8" t="s">
        <v>903</v>
      </c>
    </row>
    <row r="78" customFormat="false" ht="27.75" hidden="false" customHeight="true" outlineLevel="0" collapsed="false">
      <c r="A78" s="84" t="s">
        <v>16</v>
      </c>
      <c r="B78" s="84" t="s">
        <v>11</v>
      </c>
      <c r="C78" s="8" t="s">
        <v>904</v>
      </c>
      <c r="D78" s="84" t="n">
        <v>3</v>
      </c>
      <c r="E78" s="84" t="n">
        <v>75.46</v>
      </c>
      <c r="F78" s="88" t="n">
        <v>226.38</v>
      </c>
      <c r="G78" s="84" t="s">
        <v>792</v>
      </c>
      <c r="H78" s="84" t="s">
        <v>899</v>
      </c>
      <c r="I78" s="8"/>
    </row>
    <row r="79" customFormat="false" ht="27.75" hidden="false" customHeight="true" outlineLevel="0" collapsed="false">
      <c r="A79" s="84" t="s">
        <v>16</v>
      </c>
      <c r="B79" s="84" t="s">
        <v>11</v>
      </c>
      <c r="C79" s="8" t="s">
        <v>905</v>
      </c>
      <c r="D79" s="84" t="n">
        <v>2</v>
      </c>
      <c r="E79" s="84" t="n">
        <v>35.95</v>
      </c>
      <c r="F79" s="88" t="n">
        <v>71.9</v>
      </c>
      <c r="G79" s="84" t="s">
        <v>792</v>
      </c>
      <c r="H79" s="84" t="s">
        <v>899</v>
      </c>
      <c r="I79" s="8" t="s">
        <v>906</v>
      </c>
    </row>
    <row r="80" customFormat="false" ht="27.75" hidden="false" customHeight="true" outlineLevel="0" collapsed="false">
      <c r="A80" s="84" t="s">
        <v>16</v>
      </c>
      <c r="B80" s="84" t="s">
        <v>11</v>
      </c>
      <c r="C80" s="8" t="s">
        <v>907</v>
      </c>
      <c r="D80" s="84" t="n">
        <v>1</v>
      </c>
      <c r="E80" s="84" t="n">
        <v>15.79</v>
      </c>
      <c r="F80" s="88" t="n">
        <v>15.79</v>
      </c>
      <c r="G80" s="84" t="s">
        <v>792</v>
      </c>
      <c r="H80" s="84" t="s">
        <v>899</v>
      </c>
      <c r="I80" s="8"/>
    </row>
    <row r="81" customFormat="false" ht="27.75" hidden="false" customHeight="true" outlineLevel="0" collapsed="false">
      <c r="A81" s="84" t="s">
        <v>16</v>
      </c>
      <c r="B81" s="84" t="s">
        <v>11</v>
      </c>
      <c r="C81" s="8" t="s">
        <v>908</v>
      </c>
      <c r="D81" s="84" t="n">
        <v>3</v>
      </c>
      <c r="E81" s="84" t="n">
        <v>54.32</v>
      </c>
      <c r="F81" s="88" t="n">
        <v>162.96</v>
      </c>
      <c r="G81" s="84" t="s">
        <v>792</v>
      </c>
      <c r="H81" s="84" t="s">
        <v>899</v>
      </c>
      <c r="I81" s="8" t="s">
        <v>909</v>
      </c>
    </row>
    <row r="82" customFormat="false" ht="175.5" hidden="false" customHeight="true" outlineLevel="0" collapsed="false">
      <c r="A82" s="84" t="s">
        <v>16</v>
      </c>
      <c r="B82" s="84" t="s">
        <v>11</v>
      </c>
      <c r="C82" s="8" t="s">
        <v>910</v>
      </c>
      <c r="D82" s="84"/>
      <c r="E82" s="84"/>
      <c r="F82" s="88" t="n">
        <v>887.13</v>
      </c>
      <c r="G82" s="84" t="s">
        <v>765</v>
      </c>
      <c r="H82" s="84" t="s">
        <v>899</v>
      </c>
      <c r="I82" s="8" t="s">
        <v>911</v>
      </c>
    </row>
    <row r="83" customFormat="false" ht="15" hidden="false" customHeight="true" outlineLevel="0" collapsed="false">
      <c r="A83" s="8" t="s">
        <v>29</v>
      </c>
      <c r="B83" s="8" t="s">
        <v>912</v>
      </c>
      <c r="C83" s="8" t="s">
        <v>913</v>
      </c>
      <c r="D83" s="84"/>
      <c r="E83" s="84"/>
      <c r="F83" s="18" t="n">
        <v>9.74</v>
      </c>
      <c r="G83" s="84" t="s">
        <v>774</v>
      </c>
      <c r="H83" s="84" t="s">
        <v>549</v>
      </c>
      <c r="I83" s="20" t="s">
        <v>914</v>
      </c>
    </row>
    <row r="84" customFormat="false" ht="27.75" hidden="false" customHeight="true" outlineLevel="0" collapsed="false">
      <c r="A84" s="8" t="s">
        <v>29</v>
      </c>
      <c r="B84" s="8" t="s">
        <v>915</v>
      </c>
      <c r="C84" s="8" t="s">
        <v>916</v>
      </c>
      <c r="D84" s="84"/>
      <c r="E84" s="84"/>
      <c r="F84" s="18" t="n">
        <v>78.01</v>
      </c>
      <c r="G84" s="84" t="s">
        <v>774</v>
      </c>
      <c r="H84" s="84" t="s">
        <v>549</v>
      </c>
      <c r="I84" s="20" t="s">
        <v>917</v>
      </c>
    </row>
    <row r="85" customFormat="false" ht="27.75" hidden="false" customHeight="true" outlineLevel="0" collapsed="false">
      <c r="A85" s="8" t="s">
        <v>29</v>
      </c>
      <c r="B85" s="8" t="s">
        <v>918</v>
      </c>
      <c r="C85" s="8" t="s">
        <v>919</v>
      </c>
      <c r="D85" s="84"/>
      <c r="E85" s="84"/>
      <c r="F85" s="18" t="n">
        <v>2.25</v>
      </c>
      <c r="G85" s="84" t="s">
        <v>920</v>
      </c>
      <c r="H85" s="84" t="s">
        <v>549</v>
      </c>
      <c r="I85" s="20" t="s">
        <v>921</v>
      </c>
    </row>
    <row r="86" customFormat="false" ht="15" hidden="false" customHeight="true" outlineLevel="0" collapsed="false">
      <c r="A86" s="8" t="s">
        <v>29</v>
      </c>
      <c r="B86" s="8" t="s">
        <v>915</v>
      </c>
      <c r="C86" s="8" t="s">
        <v>922</v>
      </c>
      <c r="D86" s="84" t="n">
        <v>1</v>
      </c>
      <c r="E86" s="84"/>
      <c r="F86" s="18" t="n">
        <v>40.4</v>
      </c>
      <c r="G86" s="84" t="s">
        <v>774</v>
      </c>
      <c r="H86" s="84" t="s">
        <v>549</v>
      </c>
      <c r="I86" s="20" t="s">
        <v>923</v>
      </c>
    </row>
    <row r="87" customFormat="false" ht="27.75" hidden="false" customHeight="true" outlineLevel="0" collapsed="false">
      <c r="A87" s="8" t="s">
        <v>16</v>
      </c>
      <c r="B87" s="8" t="s">
        <v>483</v>
      </c>
      <c r="C87" s="8" t="s">
        <v>924</v>
      </c>
      <c r="D87" s="84" t="n">
        <v>2</v>
      </c>
      <c r="E87" s="84"/>
      <c r="F87" s="18" t="n">
        <v>8.86</v>
      </c>
      <c r="G87" s="84" t="s">
        <v>774</v>
      </c>
      <c r="H87" s="84" t="s">
        <v>925</v>
      </c>
      <c r="I87" s="20" t="s">
        <v>926</v>
      </c>
    </row>
    <row r="88" customFormat="false" ht="27.75" hidden="false" customHeight="true" outlineLevel="0" collapsed="false">
      <c r="A88" s="8" t="s">
        <v>16</v>
      </c>
      <c r="B88" s="8" t="s">
        <v>483</v>
      </c>
      <c r="C88" s="8" t="s">
        <v>927</v>
      </c>
      <c r="D88" s="84" t="n">
        <v>4</v>
      </c>
      <c r="E88" s="84"/>
      <c r="F88" s="18" t="n">
        <v>17.71</v>
      </c>
      <c r="G88" s="84" t="s">
        <v>774</v>
      </c>
      <c r="H88" s="84" t="s">
        <v>925</v>
      </c>
      <c r="I88" s="20" t="s">
        <v>928</v>
      </c>
    </row>
    <row r="89" customFormat="false" ht="27.75" hidden="false" customHeight="true" outlineLevel="0" collapsed="false">
      <c r="A89" s="8" t="s">
        <v>16</v>
      </c>
      <c r="B89" s="8" t="s">
        <v>483</v>
      </c>
      <c r="C89" s="8" t="s">
        <v>929</v>
      </c>
      <c r="D89" s="84" t="n">
        <v>2</v>
      </c>
      <c r="E89" s="84"/>
      <c r="F89" s="18" t="n">
        <v>45.14</v>
      </c>
      <c r="G89" s="84" t="s">
        <v>774</v>
      </c>
      <c r="H89" s="84" t="s">
        <v>925</v>
      </c>
      <c r="I89" s="20" t="s">
        <v>928</v>
      </c>
    </row>
    <row r="90" customFormat="false" ht="27.75" hidden="false" customHeight="true" outlineLevel="0" collapsed="false">
      <c r="A90" s="8" t="s">
        <v>16</v>
      </c>
      <c r="B90" s="8" t="s">
        <v>483</v>
      </c>
      <c r="C90" s="8" t="s">
        <v>930</v>
      </c>
      <c r="D90" s="84" t="n">
        <v>1</v>
      </c>
      <c r="E90" s="84"/>
      <c r="F90" s="18" t="n">
        <v>36.43</v>
      </c>
      <c r="G90" s="84" t="s">
        <v>774</v>
      </c>
      <c r="H90" s="84" t="s">
        <v>925</v>
      </c>
      <c r="I90" s="20" t="s">
        <v>928</v>
      </c>
    </row>
    <row r="91" customFormat="false" ht="34.5" hidden="false" customHeight="true" outlineLevel="0" collapsed="false">
      <c r="A91" s="8" t="s">
        <v>16</v>
      </c>
      <c r="B91" s="8" t="s">
        <v>483</v>
      </c>
      <c r="C91" s="8" t="s">
        <v>931</v>
      </c>
      <c r="D91" s="84" t="n">
        <v>1</v>
      </c>
      <c r="E91" s="84"/>
      <c r="F91" s="18" t="n">
        <v>82.19</v>
      </c>
      <c r="G91" s="84" t="s">
        <v>774</v>
      </c>
      <c r="H91" s="84" t="s">
        <v>932</v>
      </c>
      <c r="I91" s="20" t="s">
        <v>933</v>
      </c>
    </row>
    <row r="92" customFormat="false" ht="27.75" hidden="false" customHeight="true" outlineLevel="0" collapsed="false">
      <c r="A92" s="8" t="s">
        <v>16</v>
      </c>
      <c r="B92" s="8" t="s">
        <v>483</v>
      </c>
      <c r="C92" s="8" t="s">
        <v>934</v>
      </c>
      <c r="D92" s="84" t="n">
        <v>1</v>
      </c>
      <c r="E92" s="84"/>
      <c r="F92" s="18" t="n">
        <v>82.19</v>
      </c>
      <c r="G92" s="84" t="s">
        <v>774</v>
      </c>
      <c r="H92" s="84" t="s">
        <v>932</v>
      </c>
      <c r="I92" s="20" t="s">
        <v>928</v>
      </c>
    </row>
    <row r="93" customFormat="false" ht="27.75" hidden="false" customHeight="true" outlineLevel="0" collapsed="false">
      <c r="A93" s="8" t="s">
        <v>16</v>
      </c>
      <c r="B93" s="8" t="s">
        <v>483</v>
      </c>
      <c r="C93" s="8" t="s">
        <v>935</v>
      </c>
      <c r="D93" s="84" t="n">
        <v>72</v>
      </c>
      <c r="E93" s="84"/>
      <c r="F93" s="18" t="n">
        <v>182.74</v>
      </c>
      <c r="G93" s="84" t="s">
        <v>774</v>
      </c>
      <c r="H93" s="84" t="s">
        <v>932</v>
      </c>
      <c r="I93" s="20" t="s">
        <v>928</v>
      </c>
    </row>
    <row r="94" customFormat="false" ht="27.75" hidden="false" customHeight="true" outlineLevel="0" collapsed="false">
      <c r="A94" s="8" t="s">
        <v>16</v>
      </c>
      <c r="B94" s="8" t="s">
        <v>483</v>
      </c>
      <c r="C94" s="8" t="s">
        <v>936</v>
      </c>
      <c r="D94" s="84" t="n">
        <v>2</v>
      </c>
      <c r="E94" s="84"/>
      <c r="F94" s="18" t="n">
        <v>164.38</v>
      </c>
      <c r="G94" s="84" t="s">
        <v>774</v>
      </c>
      <c r="H94" s="84" t="s">
        <v>859</v>
      </c>
      <c r="I94" s="20" t="s">
        <v>860</v>
      </c>
    </row>
    <row r="95" customFormat="false" ht="27.75" hidden="false" customHeight="true" outlineLevel="0" collapsed="false">
      <c r="A95" s="8" t="s">
        <v>16</v>
      </c>
      <c r="B95" s="8" t="s">
        <v>483</v>
      </c>
      <c r="C95" s="8" t="s">
        <v>937</v>
      </c>
      <c r="D95" s="84" t="n">
        <v>10</v>
      </c>
      <c r="E95" s="84"/>
      <c r="F95" s="18" t="n">
        <v>85.08</v>
      </c>
      <c r="G95" s="84" t="s">
        <v>774</v>
      </c>
      <c r="H95" s="84" t="s">
        <v>859</v>
      </c>
      <c r="I95" s="20" t="s">
        <v>862</v>
      </c>
    </row>
    <row r="96" customFormat="false" ht="27.75" hidden="false" customHeight="true" outlineLevel="0" collapsed="false">
      <c r="A96" s="8" t="s">
        <v>16</v>
      </c>
      <c r="B96" s="8" t="s">
        <v>664</v>
      </c>
      <c r="C96" s="8" t="s">
        <v>938</v>
      </c>
      <c r="D96" s="84" t="n">
        <v>1</v>
      </c>
      <c r="E96" s="84"/>
      <c r="F96" s="18" t="n">
        <v>163.3</v>
      </c>
      <c r="G96" s="84" t="s">
        <v>774</v>
      </c>
      <c r="H96" s="84" t="s">
        <v>859</v>
      </c>
      <c r="I96" s="20" t="s">
        <v>860</v>
      </c>
    </row>
    <row r="97" customFormat="false" ht="27.75" hidden="false" customHeight="true" outlineLevel="0" collapsed="false">
      <c r="A97" s="8" t="s">
        <v>16</v>
      </c>
      <c r="B97" s="8" t="s">
        <v>664</v>
      </c>
      <c r="C97" s="8" t="s">
        <v>939</v>
      </c>
      <c r="D97" s="84" t="n">
        <v>1</v>
      </c>
      <c r="E97" s="84"/>
      <c r="F97" s="18" t="n">
        <v>24.49</v>
      </c>
      <c r="G97" s="84" t="s">
        <v>774</v>
      </c>
      <c r="H97" s="84" t="s">
        <v>859</v>
      </c>
      <c r="I97" s="20" t="s">
        <v>862</v>
      </c>
    </row>
    <row r="98" customFormat="false" ht="27.75" hidden="false" customHeight="true" outlineLevel="0" collapsed="false">
      <c r="A98" s="8" t="s">
        <v>16</v>
      </c>
      <c r="B98" s="8" t="s">
        <v>664</v>
      </c>
      <c r="C98" s="8" t="s">
        <v>940</v>
      </c>
      <c r="D98" s="84" t="n">
        <v>1</v>
      </c>
      <c r="E98" s="84"/>
      <c r="F98" s="18" t="n">
        <v>6</v>
      </c>
      <c r="G98" s="84" t="s">
        <v>774</v>
      </c>
      <c r="H98" s="84" t="s">
        <v>859</v>
      </c>
      <c r="I98" s="20" t="s">
        <v>862</v>
      </c>
    </row>
    <row r="99" customFormat="false" ht="27.75" hidden="false" customHeight="true" outlineLevel="0" collapsed="false">
      <c r="A99" s="8" t="s">
        <v>16</v>
      </c>
      <c r="B99" s="8" t="s">
        <v>664</v>
      </c>
      <c r="C99" s="8" t="s">
        <v>941</v>
      </c>
      <c r="D99" s="84" t="n">
        <v>1</v>
      </c>
      <c r="E99" s="84"/>
      <c r="F99" s="18" t="n">
        <v>42</v>
      </c>
      <c r="G99" s="84" t="s">
        <v>774</v>
      </c>
      <c r="H99" s="84" t="s">
        <v>859</v>
      </c>
      <c r="I99" s="20" t="s">
        <v>862</v>
      </c>
    </row>
    <row r="100" customFormat="false" ht="27.75" hidden="false" customHeight="true" outlineLevel="0" collapsed="false">
      <c r="A100" s="8" t="s">
        <v>16</v>
      </c>
      <c r="B100" s="8" t="s">
        <v>664</v>
      </c>
      <c r="C100" s="8" t="s">
        <v>942</v>
      </c>
      <c r="D100" s="84" t="n">
        <v>1</v>
      </c>
      <c r="E100" s="84"/>
      <c r="F100" s="18" t="n">
        <v>42</v>
      </c>
      <c r="G100" s="84" t="s">
        <v>774</v>
      </c>
      <c r="H100" s="84" t="s">
        <v>859</v>
      </c>
      <c r="I100" s="20" t="s">
        <v>862</v>
      </c>
    </row>
    <row r="101" customFormat="false" ht="27.75" hidden="false" customHeight="true" outlineLevel="0" collapsed="false">
      <c r="A101" s="8" t="s">
        <v>16</v>
      </c>
      <c r="B101" s="8" t="s">
        <v>483</v>
      </c>
      <c r="C101" s="8" t="s">
        <v>943</v>
      </c>
      <c r="D101" s="84" t="n">
        <v>6</v>
      </c>
      <c r="E101" s="84"/>
      <c r="F101" s="18" t="n">
        <v>15.23</v>
      </c>
      <c r="G101" s="84" t="s">
        <v>774</v>
      </c>
      <c r="H101" s="84" t="s">
        <v>859</v>
      </c>
      <c r="I101" s="20" t="s">
        <v>860</v>
      </c>
    </row>
    <row r="102" customFormat="false" ht="27.75" hidden="false" customHeight="true" outlineLevel="0" collapsed="false">
      <c r="A102" s="8" t="s">
        <v>16</v>
      </c>
      <c r="B102" s="8" t="s">
        <v>483</v>
      </c>
      <c r="C102" s="8" t="s">
        <v>944</v>
      </c>
      <c r="D102" s="84" t="n">
        <v>4</v>
      </c>
      <c r="E102" s="84"/>
      <c r="F102" s="18" t="n">
        <v>34.03</v>
      </c>
      <c r="G102" s="84" t="s">
        <v>774</v>
      </c>
      <c r="H102" s="84" t="s">
        <v>859</v>
      </c>
      <c r="I102" s="20" t="s">
        <v>862</v>
      </c>
    </row>
    <row r="103" customFormat="false" ht="27.75" hidden="false" customHeight="true" outlineLevel="0" collapsed="false">
      <c r="A103" s="8" t="s">
        <v>16</v>
      </c>
      <c r="B103" s="8" t="s">
        <v>483</v>
      </c>
      <c r="C103" s="8" t="s">
        <v>945</v>
      </c>
      <c r="D103" s="84" t="n">
        <v>1</v>
      </c>
      <c r="E103" s="84"/>
      <c r="F103" s="18" t="n">
        <v>5.68</v>
      </c>
      <c r="G103" s="84" t="s">
        <v>774</v>
      </c>
      <c r="H103" s="84" t="s">
        <v>859</v>
      </c>
      <c r="I103" s="20" t="s">
        <v>862</v>
      </c>
    </row>
    <row r="104" customFormat="false" ht="27.75" hidden="false" customHeight="true" outlineLevel="0" collapsed="false">
      <c r="A104" s="8" t="s">
        <v>16</v>
      </c>
      <c r="B104" s="8" t="s">
        <v>483</v>
      </c>
      <c r="C104" s="8" t="s">
        <v>946</v>
      </c>
      <c r="D104" s="84" t="n">
        <v>1</v>
      </c>
      <c r="E104" s="84"/>
      <c r="F104" s="18" t="n">
        <v>5.36</v>
      </c>
      <c r="G104" s="84" t="s">
        <v>774</v>
      </c>
      <c r="H104" s="84" t="s">
        <v>859</v>
      </c>
      <c r="I104" s="20" t="s">
        <v>862</v>
      </c>
    </row>
    <row r="105" customFormat="false" ht="27.75" hidden="false" customHeight="true" outlineLevel="0" collapsed="false">
      <c r="A105" s="8" t="s">
        <v>16</v>
      </c>
      <c r="B105" s="8" t="s">
        <v>483</v>
      </c>
      <c r="C105" s="8" t="s">
        <v>947</v>
      </c>
      <c r="D105" s="84" t="n">
        <v>20</v>
      </c>
      <c r="E105" s="84"/>
      <c r="F105" s="18" t="n">
        <v>50.76</v>
      </c>
      <c r="G105" s="84" t="s">
        <v>774</v>
      </c>
      <c r="H105" s="84" t="s">
        <v>859</v>
      </c>
      <c r="I105" s="20" t="s">
        <v>860</v>
      </c>
    </row>
    <row r="106" customFormat="false" ht="15" hidden="false" customHeight="true" outlineLevel="0" collapsed="false">
      <c r="A106" s="8" t="s">
        <v>16</v>
      </c>
      <c r="B106" s="8" t="s">
        <v>14</v>
      </c>
      <c r="C106" s="8" t="s">
        <v>948</v>
      </c>
      <c r="D106" s="84"/>
      <c r="E106" s="84"/>
      <c r="F106" s="18" t="n">
        <v>200</v>
      </c>
      <c r="G106" s="84" t="s">
        <v>829</v>
      </c>
      <c r="H106" s="84" t="s">
        <v>949</v>
      </c>
      <c r="I106" s="20" t="s">
        <v>950</v>
      </c>
    </row>
    <row r="107" customFormat="false" ht="15" hidden="false" customHeight="true" outlineLevel="0" collapsed="false">
      <c r="A107" s="8" t="s">
        <v>16</v>
      </c>
      <c r="B107" s="8" t="s">
        <v>14</v>
      </c>
      <c r="C107" s="8" t="s">
        <v>951</v>
      </c>
      <c r="D107" s="84"/>
      <c r="E107" s="84"/>
      <c r="F107" s="18" t="n">
        <v>1050</v>
      </c>
      <c r="G107" s="84" t="s">
        <v>769</v>
      </c>
      <c r="H107" s="84" t="s">
        <v>896</v>
      </c>
      <c r="I107" s="20" t="s">
        <v>952</v>
      </c>
    </row>
    <row r="108" customFormat="false" ht="15" hidden="false" customHeight="true" outlineLevel="0" collapsed="false">
      <c r="A108" s="8" t="s">
        <v>16</v>
      </c>
      <c r="B108" s="8" t="s">
        <v>953</v>
      </c>
      <c r="C108" s="8" t="s">
        <v>954</v>
      </c>
      <c r="D108" s="84" t="n">
        <v>1</v>
      </c>
      <c r="E108" s="84"/>
      <c r="F108" s="18" t="n">
        <v>71.99</v>
      </c>
      <c r="G108" s="84" t="s">
        <v>774</v>
      </c>
      <c r="H108" s="84" t="s">
        <v>955</v>
      </c>
      <c r="I108" s="20" t="s">
        <v>956</v>
      </c>
    </row>
    <row r="109" customFormat="false" ht="15" hidden="false" customHeight="true" outlineLevel="0" collapsed="false">
      <c r="A109" s="8" t="s">
        <v>16</v>
      </c>
      <c r="B109" s="8" t="s">
        <v>953</v>
      </c>
      <c r="C109" s="8" t="s">
        <v>957</v>
      </c>
      <c r="D109" s="84" t="n">
        <v>1</v>
      </c>
      <c r="E109" s="84"/>
      <c r="F109" s="18" t="n">
        <v>2.99</v>
      </c>
      <c r="G109" s="84" t="s">
        <v>774</v>
      </c>
      <c r="H109" s="84" t="s">
        <v>955</v>
      </c>
      <c r="I109" s="20" t="s">
        <v>956</v>
      </c>
    </row>
    <row r="110" customFormat="false" ht="15" hidden="false" customHeight="true" outlineLevel="0" collapsed="false">
      <c r="A110" s="8" t="s">
        <v>16</v>
      </c>
      <c r="B110" s="8" t="s">
        <v>953</v>
      </c>
      <c r="C110" s="8" t="s">
        <v>958</v>
      </c>
      <c r="D110" s="84" t="n">
        <v>1</v>
      </c>
      <c r="E110" s="84"/>
      <c r="F110" s="18" t="n">
        <v>9.99</v>
      </c>
      <c r="G110" s="84" t="s">
        <v>774</v>
      </c>
      <c r="H110" s="84" t="s">
        <v>955</v>
      </c>
      <c r="I110" s="20" t="s">
        <v>956</v>
      </c>
    </row>
    <row r="111" customFormat="false" ht="15" hidden="false" customHeight="true" outlineLevel="0" collapsed="false">
      <c r="A111" s="8" t="s">
        <v>16</v>
      </c>
      <c r="B111" s="8" t="s">
        <v>368</v>
      </c>
      <c r="C111" s="8" t="s">
        <v>959</v>
      </c>
      <c r="D111" s="84"/>
      <c r="E111" s="84"/>
      <c r="F111" s="18" t="n">
        <v>1200</v>
      </c>
      <c r="G111" s="84" t="s">
        <v>960</v>
      </c>
      <c r="H111" s="84" t="s">
        <v>235</v>
      </c>
      <c r="I111" s="20" t="s">
        <v>961</v>
      </c>
    </row>
    <row r="112" customFormat="false" ht="15" hidden="false" customHeight="true" outlineLevel="0" collapsed="false">
      <c r="A112" s="8" t="s">
        <v>16</v>
      </c>
      <c r="B112" s="8" t="s">
        <v>14</v>
      </c>
      <c r="C112" s="8" t="s">
        <v>962</v>
      </c>
      <c r="D112" s="84"/>
      <c r="E112" s="84"/>
      <c r="F112" s="18" t="n">
        <v>350</v>
      </c>
      <c r="G112" s="84" t="s">
        <v>769</v>
      </c>
      <c r="H112" s="84" t="s">
        <v>963</v>
      </c>
      <c r="I112" s="20" t="s">
        <v>964</v>
      </c>
    </row>
    <row r="113" customFormat="false" ht="15" hidden="false" customHeight="true" outlineLevel="0" collapsed="false">
      <c r="A113" s="8" t="s">
        <v>16</v>
      </c>
      <c r="B113" s="8" t="s">
        <v>14</v>
      </c>
      <c r="C113" s="8" t="s">
        <v>965</v>
      </c>
      <c r="D113" s="84"/>
      <c r="E113" s="84"/>
      <c r="F113" s="18" t="n">
        <v>1000</v>
      </c>
      <c r="G113" s="84" t="s">
        <v>769</v>
      </c>
      <c r="H113" s="84" t="s">
        <v>963</v>
      </c>
      <c r="I113" s="20" t="s">
        <v>966</v>
      </c>
    </row>
    <row r="114" customFormat="false" ht="15" hidden="false" customHeight="true" outlineLevel="0" collapsed="false">
      <c r="A114" s="8" t="s">
        <v>16</v>
      </c>
      <c r="B114" s="8" t="s">
        <v>519</v>
      </c>
      <c r="C114" s="8" t="s">
        <v>967</v>
      </c>
      <c r="D114" s="84" t="n">
        <v>7</v>
      </c>
      <c r="E114" s="84" t="n">
        <v>21.14</v>
      </c>
      <c r="F114" s="18" t="n">
        <v>177.58</v>
      </c>
      <c r="G114" s="84" t="s">
        <v>774</v>
      </c>
      <c r="H114" s="84" t="s">
        <v>968</v>
      </c>
      <c r="I114" s="20" t="s">
        <v>969</v>
      </c>
    </row>
    <row r="115" customFormat="false" ht="15" hidden="false" customHeight="true" outlineLevel="0" collapsed="false">
      <c r="A115" s="8" t="s">
        <v>16</v>
      </c>
      <c r="B115" s="8" t="s">
        <v>11</v>
      </c>
      <c r="C115" s="8" t="s">
        <v>970</v>
      </c>
      <c r="D115" s="84"/>
      <c r="E115" s="84"/>
      <c r="F115" s="18" t="n">
        <v>1268</v>
      </c>
      <c r="G115" s="84" t="s">
        <v>774</v>
      </c>
      <c r="H115" s="84" t="s">
        <v>971</v>
      </c>
      <c r="I115" s="20" t="s">
        <v>972</v>
      </c>
    </row>
    <row r="116" customFormat="false" ht="15" hidden="false" customHeight="true" outlineLevel="0" collapsed="false">
      <c r="C116" s="1" t="s">
        <v>973</v>
      </c>
      <c r="F116" s="1" t="n">
        <f aca="false">SUM(F5:F115)</f>
        <v>86571.42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B82F6"/>
    <pageSetUpPr fitToPage="false"/>
  </sheetPr>
  <dimension ref="A1:L5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2" min="2" style="1" width="40"/>
    <col collapsed="false" customWidth="true" hidden="false" outlineLevel="0" max="3" min="3" style="1" width="16"/>
    <col collapsed="false" customWidth="true" hidden="false" outlineLevel="0" max="4" min="4" style="1" width="50"/>
    <col collapsed="false" customWidth="true" hidden="false" outlineLevel="0" max="5" min="5" style="1" width="14"/>
    <col collapsed="false" customWidth="true" hidden="false" outlineLevel="0" max="6" min="6" style="1" width="16"/>
    <col collapsed="false" customWidth="true" hidden="false" outlineLevel="0" max="7" min="7" style="1" width="14"/>
    <col collapsed="false" customWidth="true" hidden="false" outlineLevel="0" max="8" min="8" style="1" width="20"/>
    <col collapsed="false" customWidth="true" hidden="false" outlineLevel="0" max="9" min="9" style="1" width="28"/>
    <col collapsed="false" customWidth="true" hidden="false" outlineLevel="0" max="10" min="10" style="1" width="20"/>
    <col collapsed="false" customWidth="true" hidden="false" outlineLevel="0" max="11" min="11" style="1" width="52"/>
    <col collapsed="false" customWidth="true" hidden="false" outlineLevel="0" max="12" min="12" style="1" width="28"/>
  </cols>
  <sheetData>
    <row r="1" customFormat="false" ht="19.5" hidden="false" customHeight="true" outlineLevel="0" collapsed="false">
      <c r="A1" s="2" t="s">
        <v>974</v>
      </c>
    </row>
    <row r="2" customFormat="false" ht="15" hidden="false" customHeight="true" outlineLevel="0" collapsed="false">
      <c r="A2" s="5" t="s">
        <v>975</v>
      </c>
    </row>
    <row r="4" customFormat="false" ht="23.25" hidden="false" customHeight="true" outlineLevel="0" collapsed="false">
      <c r="A4" s="65" t="s">
        <v>423</v>
      </c>
      <c r="B4" s="65" t="s">
        <v>976</v>
      </c>
      <c r="C4" s="65" t="s">
        <v>266</v>
      </c>
      <c r="D4" s="65" t="s">
        <v>531</v>
      </c>
      <c r="E4" s="65" t="s">
        <v>412</v>
      </c>
      <c r="F4" s="65" t="s">
        <v>7</v>
      </c>
      <c r="G4" s="65" t="s">
        <v>977</v>
      </c>
      <c r="H4" s="65" t="s">
        <v>224</v>
      </c>
      <c r="I4" s="65" t="s">
        <v>978</v>
      </c>
      <c r="J4" s="65" t="s">
        <v>979</v>
      </c>
      <c r="K4" s="65" t="s">
        <v>9</v>
      </c>
      <c r="L4" s="65" t="s">
        <v>272</v>
      </c>
    </row>
    <row r="5" customFormat="false" ht="27.75" hidden="false" customHeight="true" outlineLevel="0" collapsed="false">
      <c r="A5" s="8" t="s">
        <v>980</v>
      </c>
      <c r="B5" s="102" t="s">
        <v>981</v>
      </c>
      <c r="C5" s="8" t="s">
        <v>982</v>
      </c>
      <c r="D5" s="8" t="s">
        <v>983</v>
      </c>
      <c r="E5" s="18" t="n">
        <v>507.7</v>
      </c>
      <c r="F5" s="18" t="n">
        <v>507.7</v>
      </c>
      <c r="G5" s="18" t="n">
        <f aca="false">ROUND(E5-F5,2)</f>
        <v>0</v>
      </c>
      <c r="H5" s="8" t="str">
        <f aca="false">IF(G5=0,"Paid",IF(F5&gt;0,"Part paid","Invoiced, ON HOLD"))</f>
        <v>Paid</v>
      </c>
      <c r="I5" s="8" t="s">
        <v>984</v>
      </c>
      <c r="J5" s="18" t="n">
        <f aca="false">ROUND(E5-SUMIFS('TP Line Items'!$F:$F,'TP Line Items'!$A:$A,$B5),2)</f>
        <v>0</v>
      </c>
      <c r="K5" s="8" t="s">
        <v>985</v>
      </c>
      <c r="L5" s="8" t="s">
        <v>292</v>
      </c>
    </row>
    <row r="6" customFormat="false" ht="15" hidden="false" customHeight="true" outlineLevel="0" collapsed="false">
      <c r="A6" s="8" t="s">
        <v>986</v>
      </c>
      <c r="B6" s="102" t="s">
        <v>987</v>
      </c>
      <c r="C6" s="103" t="n">
        <v>46244</v>
      </c>
      <c r="D6" s="8" t="s">
        <v>988</v>
      </c>
      <c r="E6" s="18" t="n">
        <v>40.18</v>
      </c>
      <c r="F6" s="18" t="n">
        <v>40.18</v>
      </c>
      <c r="G6" s="18" t="n">
        <f aca="false">ROUND(E6-F6,2)</f>
        <v>0</v>
      </c>
      <c r="H6" s="8" t="str">
        <f aca="false">IF(G6=0,"Paid",IF(F6&gt;0,"Part paid","Invoiced, ON HOLD"))</f>
        <v>Paid</v>
      </c>
      <c r="I6" s="8" t="s">
        <v>23</v>
      </c>
      <c r="J6" s="18" t="n">
        <f aca="false">ROUND(E6-SUMIFS('TP Line Items'!$F:$F,'TP Line Items'!$A:$A,$B6),2)</f>
        <v>0</v>
      </c>
      <c r="K6" s="8" t="s">
        <v>985</v>
      </c>
      <c r="L6" s="8" t="s">
        <v>292</v>
      </c>
    </row>
    <row r="7" customFormat="false" ht="15" hidden="false" customHeight="true" outlineLevel="0" collapsed="false">
      <c r="A7" s="8" t="s">
        <v>989</v>
      </c>
      <c r="B7" s="102" t="s">
        <v>702</v>
      </c>
      <c r="C7" s="103" t="n">
        <v>46245</v>
      </c>
      <c r="D7" s="8" t="s">
        <v>990</v>
      </c>
      <c r="E7" s="18" t="n">
        <v>108.14</v>
      </c>
      <c r="F7" s="18" t="n">
        <v>108.14</v>
      </c>
      <c r="G7" s="18" t="n">
        <f aca="false">ROUND(E7-F7,2)</f>
        <v>0</v>
      </c>
      <c r="H7" s="8" t="str">
        <f aca="false">IF(G7=0,"Paid",IF(F7&gt;0,"Part paid","Invoiced, ON HOLD"))</f>
        <v>Paid</v>
      </c>
      <c r="I7" s="8" t="s">
        <v>991</v>
      </c>
      <c r="J7" s="18" t="n">
        <f aca="false">ROUND(E7-SUMIFS('TP Line Items'!$F:$F,'TP Line Items'!$A:$A,$B7),2)</f>
        <v>0</v>
      </c>
      <c r="K7" s="8" t="s">
        <v>992</v>
      </c>
      <c r="L7" s="8" t="s">
        <v>285</v>
      </c>
    </row>
    <row r="8" customFormat="false" ht="27.75" hidden="false" customHeight="true" outlineLevel="0" collapsed="false">
      <c r="A8" s="8" t="s">
        <v>993</v>
      </c>
      <c r="B8" s="102" t="s">
        <v>994</v>
      </c>
      <c r="C8" s="103" t="n">
        <v>46251</v>
      </c>
      <c r="D8" s="8" t="s">
        <v>995</v>
      </c>
      <c r="E8" s="18" t="n">
        <v>347.12</v>
      </c>
      <c r="F8" s="18" t="n">
        <v>347.12</v>
      </c>
      <c r="G8" s="18" t="n">
        <f aca="false">ROUND(E8-F8,2)</f>
        <v>0</v>
      </c>
      <c r="H8" s="8" t="str">
        <f aca="false">IF(G8=0,"Paid",IF(F8&gt;0,"Part paid","Invoiced, ON HOLD"))</f>
        <v>Paid</v>
      </c>
      <c r="I8" s="8" t="s">
        <v>996</v>
      </c>
      <c r="J8" s="18" t="n">
        <f aca="false">ROUND(E8-SUMIFS('TP Line Items'!$F:$F,'TP Line Items'!$A:$A,$B8),2)</f>
        <v>0</v>
      </c>
      <c r="K8" s="8" t="s">
        <v>997</v>
      </c>
      <c r="L8" s="8" t="s">
        <v>285</v>
      </c>
    </row>
    <row r="9" customFormat="false" ht="15" hidden="false" customHeight="true" outlineLevel="0" collapsed="false">
      <c r="A9" s="8" t="s">
        <v>998</v>
      </c>
      <c r="B9" s="102" t="s">
        <v>650</v>
      </c>
      <c r="C9" s="103" t="n">
        <v>46252</v>
      </c>
      <c r="D9" s="8" t="s">
        <v>999</v>
      </c>
      <c r="E9" s="18" t="n">
        <v>144.58</v>
      </c>
      <c r="F9" s="18" t="n">
        <v>144.58</v>
      </c>
      <c r="G9" s="18" t="n">
        <f aca="false">ROUND(E9-F9,2)</f>
        <v>0</v>
      </c>
      <c r="H9" s="8" t="str">
        <f aca="false">IF(G9=0,"Paid",IF(F9&gt;0,"Part paid","Invoiced, ON HOLD"))</f>
        <v>Paid</v>
      </c>
      <c r="I9" s="8" t="s">
        <v>1000</v>
      </c>
      <c r="J9" s="18" t="n">
        <f aca="false">ROUND(E9-SUMIFS('TP Line Items'!$F:$F,'TP Line Items'!$A:$A,$B9),2)</f>
        <v>0</v>
      </c>
      <c r="K9" s="8" t="s">
        <v>1001</v>
      </c>
      <c r="L9" s="8" t="s">
        <v>285</v>
      </c>
    </row>
    <row r="10" customFormat="false" ht="15" hidden="false" customHeight="true" outlineLevel="0" collapsed="false">
      <c r="A10" s="8" t="s">
        <v>1002</v>
      </c>
      <c r="B10" s="102" t="s">
        <v>655</v>
      </c>
      <c r="C10" s="103" t="n">
        <v>46253</v>
      </c>
      <c r="D10" s="8" t="s">
        <v>1003</v>
      </c>
      <c r="E10" s="18" t="n">
        <v>74.34</v>
      </c>
      <c r="F10" s="18" t="n">
        <v>74.34</v>
      </c>
      <c r="G10" s="18" t="n">
        <f aca="false">ROUND(E10-F10,2)</f>
        <v>0</v>
      </c>
      <c r="H10" s="8" t="str">
        <f aca="false">IF(G10=0,"Paid",IF(F10&gt;0,"Part paid","Invoiced, ON HOLD"))</f>
        <v>Paid</v>
      </c>
      <c r="I10" s="8" t="s">
        <v>1004</v>
      </c>
      <c r="J10" s="18" t="n">
        <f aca="false">ROUND(E10-SUMIFS('TP Line Items'!$F:$F,'TP Line Items'!$A:$A,$B10),2)</f>
        <v>0</v>
      </c>
      <c r="K10" s="8" t="s">
        <v>1001</v>
      </c>
      <c r="L10" s="8" t="s">
        <v>285</v>
      </c>
    </row>
    <row r="11" customFormat="false" ht="15" hidden="false" customHeight="true" outlineLevel="0" collapsed="false">
      <c r="A11" s="8" t="s">
        <v>1005</v>
      </c>
      <c r="B11" s="102" t="s">
        <v>660</v>
      </c>
      <c r="C11" s="103" t="n">
        <v>46254</v>
      </c>
      <c r="D11" s="8" t="s">
        <v>1006</v>
      </c>
      <c r="E11" s="18" t="n">
        <v>22.66</v>
      </c>
      <c r="F11" s="18" t="n">
        <v>22.66</v>
      </c>
      <c r="G11" s="18" t="n">
        <f aca="false">ROUND(E11-F11,2)</f>
        <v>0</v>
      </c>
      <c r="H11" s="8" t="str">
        <f aca="false">IF(G11=0,"Paid",IF(F11&gt;0,"Part paid","Invoiced, ON HOLD"))</f>
        <v>Paid</v>
      </c>
      <c r="I11" s="8" t="s">
        <v>1007</v>
      </c>
      <c r="J11" s="18" t="n">
        <f aca="false">ROUND(E11-SUMIFS('TP Line Items'!$F:$F,'TP Line Items'!$A:$A,$B11),2)</f>
        <v>0</v>
      </c>
      <c r="K11" s="8" t="s">
        <v>1001</v>
      </c>
      <c r="L11" s="8" t="s">
        <v>285</v>
      </c>
    </row>
    <row r="12" customFormat="false" ht="15" hidden="false" customHeight="true" outlineLevel="0" collapsed="false">
      <c r="A12" s="8" t="s">
        <v>1008</v>
      </c>
      <c r="B12" s="102" t="s">
        <v>657</v>
      </c>
      <c r="C12" s="103" t="n">
        <v>46254</v>
      </c>
      <c r="D12" s="8" t="s">
        <v>1009</v>
      </c>
      <c r="E12" s="18" t="n">
        <v>462.5</v>
      </c>
      <c r="F12" s="18" t="n">
        <v>462.5</v>
      </c>
      <c r="G12" s="18" t="n">
        <f aca="false">ROUND(E12-F12,2)</f>
        <v>0</v>
      </c>
      <c r="H12" s="8" t="str">
        <f aca="false">IF(G12=0,"Paid",IF(F12&gt;0,"Part paid","Invoiced, ON HOLD"))</f>
        <v>Paid</v>
      </c>
      <c r="I12" s="8" t="s">
        <v>1010</v>
      </c>
      <c r="J12" s="18" t="n">
        <f aca="false">ROUND(E12-SUMIFS('TP Line Items'!$F:$F,'TP Line Items'!$A:$A,$B12),2)</f>
        <v>0</v>
      </c>
      <c r="K12" s="8" t="s">
        <v>1011</v>
      </c>
      <c r="L12" s="8" t="s">
        <v>285</v>
      </c>
    </row>
    <row r="13" customFormat="false" ht="15" hidden="false" customHeight="true" outlineLevel="0" collapsed="false">
      <c r="A13" s="8" t="s">
        <v>1012</v>
      </c>
      <c r="B13" s="102" t="s">
        <v>713</v>
      </c>
      <c r="C13" s="103" t="n">
        <v>46268</v>
      </c>
      <c r="D13" s="8" t="s">
        <v>1013</v>
      </c>
      <c r="E13" s="18" t="n">
        <v>249.46</v>
      </c>
      <c r="F13" s="18" t="n">
        <v>249.46</v>
      </c>
      <c r="G13" s="18" t="n">
        <f aca="false">ROUND(E13-F13,2)</f>
        <v>0</v>
      </c>
      <c r="H13" s="8" t="str">
        <f aca="false">IF(G13=0,"Paid",IF(F13&gt;0,"Part paid","Invoiced, ON HOLD"))</f>
        <v>Paid</v>
      </c>
      <c r="I13" s="8" t="s">
        <v>1014</v>
      </c>
      <c r="J13" s="18" t="n">
        <f aca="false">ROUND(E13-SUMIFS('TP Line Items'!$F:$F,'TP Line Items'!$A:$A,$B13),2)</f>
        <v>0</v>
      </c>
      <c r="K13" s="8" t="s">
        <v>1001</v>
      </c>
      <c r="L13" s="8" t="s">
        <v>285</v>
      </c>
    </row>
    <row r="14" customFormat="false" ht="15" hidden="false" customHeight="true" outlineLevel="0" collapsed="false">
      <c r="A14" s="8" t="s">
        <v>1015</v>
      </c>
      <c r="B14" s="102" t="s">
        <v>662</v>
      </c>
      <c r="C14" s="103" t="n">
        <v>46273</v>
      </c>
      <c r="D14" s="8" t="s">
        <v>1016</v>
      </c>
      <c r="E14" s="18" t="n">
        <v>58.62</v>
      </c>
      <c r="F14" s="18" t="n">
        <v>58.62</v>
      </c>
      <c r="G14" s="18" t="n">
        <f aca="false">ROUND(E14-F14,2)</f>
        <v>0</v>
      </c>
      <c r="H14" s="8" t="str">
        <f aca="false">IF(G14=0,"Paid",IF(F14&gt;0,"Part paid","Invoiced, ON HOLD"))</f>
        <v>Paid</v>
      </c>
      <c r="I14" s="8" t="s">
        <v>1017</v>
      </c>
      <c r="J14" s="18" t="n">
        <f aca="false">ROUND(E14-SUMIFS('TP Line Items'!$F:$F,'TP Line Items'!$A:$A,$B14),2)</f>
        <v>0</v>
      </c>
      <c r="K14" s="8" t="s">
        <v>1001</v>
      </c>
      <c r="L14" s="8" t="s">
        <v>285</v>
      </c>
    </row>
    <row r="15" customFormat="false" ht="15" hidden="false" customHeight="true" outlineLevel="0" collapsed="false">
      <c r="A15" s="8" t="s">
        <v>1018</v>
      </c>
      <c r="B15" s="102" t="s">
        <v>665</v>
      </c>
      <c r="C15" s="103" t="n">
        <v>46274</v>
      </c>
      <c r="D15" s="8" t="s">
        <v>1019</v>
      </c>
      <c r="E15" s="18" t="n">
        <v>378.58</v>
      </c>
      <c r="F15" s="18" t="n">
        <v>378.58</v>
      </c>
      <c r="G15" s="18" t="n">
        <f aca="false">ROUND(E15-F15,2)</f>
        <v>0</v>
      </c>
      <c r="H15" s="8" t="str">
        <f aca="false">IF(G15=0,"Paid",IF(F15&gt;0,"Part paid","Invoiced, ON HOLD"))</f>
        <v>Paid</v>
      </c>
      <c r="I15" s="8" t="s">
        <v>1020</v>
      </c>
      <c r="J15" s="18" t="n">
        <f aca="false">ROUND(E15-SUMIFS('TP Line Items'!$F:$F,'TP Line Items'!$A:$A,$B15),2)</f>
        <v>0</v>
      </c>
      <c r="K15" s="8" t="s">
        <v>1001</v>
      </c>
      <c r="L15" s="8" t="s">
        <v>303</v>
      </c>
    </row>
    <row r="16" customFormat="false" ht="15" hidden="false" customHeight="true" outlineLevel="0" collapsed="false">
      <c r="A16" s="8" t="s">
        <v>1021</v>
      </c>
      <c r="B16" s="102" t="s">
        <v>669</v>
      </c>
      <c r="C16" s="103" t="n">
        <v>46275</v>
      </c>
      <c r="D16" s="8" t="s">
        <v>1022</v>
      </c>
      <c r="E16" s="18" t="n">
        <v>124.73</v>
      </c>
      <c r="F16" s="18" t="n">
        <v>124.73</v>
      </c>
      <c r="G16" s="18" t="n">
        <f aca="false">ROUND(E16-F16,2)</f>
        <v>0</v>
      </c>
      <c r="H16" s="8" t="str">
        <f aca="false">IF(G16=0,"Paid",IF(F16&gt;0,"Part paid","Invoiced, ON HOLD"))</f>
        <v>Paid</v>
      </c>
      <c r="I16" s="8" t="s">
        <v>1023</v>
      </c>
      <c r="J16" s="18" t="n">
        <f aca="false">ROUND(E16-SUMIFS('TP Line Items'!$F:$F,'TP Line Items'!$A:$A,$B16),2)</f>
        <v>0</v>
      </c>
      <c r="K16" s="8" t="s">
        <v>1001</v>
      </c>
      <c r="L16" s="8" t="s">
        <v>285</v>
      </c>
    </row>
    <row r="17" customFormat="false" ht="15" hidden="false" customHeight="true" outlineLevel="0" collapsed="false">
      <c r="A17" s="8" t="s">
        <v>1024</v>
      </c>
      <c r="B17" s="102" t="s">
        <v>674</v>
      </c>
      <c r="C17" s="103" t="n">
        <v>46276</v>
      </c>
      <c r="D17" s="8" t="s">
        <v>184</v>
      </c>
      <c r="E17" s="18" t="n">
        <v>291.17</v>
      </c>
      <c r="F17" s="18" t="n">
        <v>291.17</v>
      </c>
      <c r="G17" s="18" t="n">
        <f aca="false">ROUND(E17-F17,2)</f>
        <v>0</v>
      </c>
      <c r="H17" s="8" t="str">
        <f aca="false">IF(G17=0,"Paid",IF(F17&gt;0,"Part paid","Invoiced, ON HOLD"))</f>
        <v>Paid</v>
      </c>
      <c r="I17" s="8" t="s">
        <v>1025</v>
      </c>
      <c r="J17" s="18" t="n">
        <f aca="false">ROUND(E17-SUMIFS('TP Line Items'!$F:$F,'TP Line Items'!$A:$A,$B17),2)</f>
        <v>0</v>
      </c>
      <c r="K17" s="8" t="s">
        <v>1026</v>
      </c>
      <c r="L17" s="8" t="s">
        <v>124</v>
      </c>
    </row>
    <row r="18" customFormat="false" ht="15" hidden="false" customHeight="true" outlineLevel="0" collapsed="false">
      <c r="A18" s="8" t="s">
        <v>1027</v>
      </c>
      <c r="B18" s="102" t="s">
        <v>671</v>
      </c>
      <c r="C18" s="103" t="n">
        <v>46276</v>
      </c>
      <c r="D18" s="8" t="s">
        <v>1028</v>
      </c>
      <c r="E18" s="18" t="n">
        <v>18.29</v>
      </c>
      <c r="F18" s="18" t="n">
        <v>18.29</v>
      </c>
      <c r="G18" s="18" t="n">
        <f aca="false">ROUND(E18-F18,2)</f>
        <v>0</v>
      </c>
      <c r="H18" s="8" t="str">
        <f aca="false">IF(G18=0,"Paid",IF(F18&gt;0,"Part paid","Invoiced, ON HOLD"))</f>
        <v>Paid</v>
      </c>
      <c r="I18" s="8" t="s">
        <v>1029</v>
      </c>
      <c r="J18" s="18" t="n">
        <f aca="false">ROUND(E18-SUMIFS('TP Line Items'!$F:$F,'TP Line Items'!$A:$A,$B18),2)</f>
        <v>0</v>
      </c>
      <c r="K18" s="8" t="s">
        <v>1001</v>
      </c>
      <c r="L18" s="8" t="s">
        <v>333</v>
      </c>
    </row>
    <row r="19" customFormat="false" ht="15" hidden="false" customHeight="true" outlineLevel="0" collapsed="false">
      <c r="A19" s="8" t="s">
        <v>1030</v>
      </c>
      <c r="B19" s="102" t="s">
        <v>715</v>
      </c>
      <c r="C19" s="103" t="n">
        <v>46279</v>
      </c>
      <c r="D19" s="8" t="s">
        <v>1031</v>
      </c>
      <c r="E19" s="18" t="n">
        <v>277.79</v>
      </c>
      <c r="F19" s="18" t="n">
        <v>277.79</v>
      </c>
      <c r="G19" s="18" t="n">
        <f aca="false">ROUND(E19-F19,2)</f>
        <v>0</v>
      </c>
      <c r="H19" s="8" t="str">
        <f aca="false">IF(G19=0,"Paid",IF(F19&gt;0,"Part paid","Invoiced, ON HOLD"))</f>
        <v>Paid</v>
      </c>
      <c r="I19" s="8" t="s">
        <v>1032</v>
      </c>
      <c r="J19" s="18" t="n">
        <f aca="false">ROUND(E19-SUMIFS('TP Line Items'!$F:$F,'TP Line Items'!$A:$A,$B19),2)</f>
        <v>0</v>
      </c>
      <c r="K19" s="8" t="s">
        <v>1001</v>
      </c>
      <c r="L19" s="8" t="s">
        <v>303</v>
      </c>
    </row>
    <row r="20" customFormat="false" ht="15" hidden="false" customHeight="true" outlineLevel="0" collapsed="false">
      <c r="A20" s="8" t="s">
        <v>1033</v>
      </c>
      <c r="B20" s="102" t="s">
        <v>717</v>
      </c>
      <c r="C20" s="103" t="n">
        <v>46286</v>
      </c>
      <c r="D20" s="8" t="s">
        <v>1034</v>
      </c>
      <c r="E20" s="18" t="n">
        <v>60.3</v>
      </c>
      <c r="F20" s="18" t="n">
        <v>60.3</v>
      </c>
      <c r="G20" s="18" t="n">
        <f aca="false">ROUND(E20-F20,2)</f>
        <v>0</v>
      </c>
      <c r="H20" s="8" t="str">
        <f aca="false">IF(G20=0,"Paid",IF(F20&gt;0,"Part paid","Invoiced, ON HOLD"))</f>
        <v>Paid</v>
      </c>
      <c r="I20" s="8" t="s">
        <v>1035</v>
      </c>
      <c r="J20" s="18" t="n">
        <f aca="false">ROUND(E20-SUMIFS('TP Line Items'!$F:$F,'TP Line Items'!$A:$A,$B20),2)</f>
        <v>0</v>
      </c>
      <c r="K20" s="8" t="s">
        <v>1001</v>
      </c>
      <c r="L20" s="8" t="s">
        <v>115</v>
      </c>
    </row>
    <row r="21" customFormat="false" ht="15" hidden="false" customHeight="true" outlineLevel="0" collapsed="false">
      <c r="A21" s="8" t="s">
        <v>1036</v>
      </c>
      <c r="B21" s="102" t="s">
        <v>720</v>
      </c>
      <c r="C21" s="103" t="n">
        <v>46286</v>
      </c>
      <c r="D21" s="8" t="s">
        <v>1037</v>
      </c>
      <c r="E21" s="18" t="n">
        <v>50.76</v>
      </c>
      <c r="F21" s="18" t="n">
        <v>50.76</v>
      </c>
      <c r="G21" s="18" t="n">
        <f aca="false">ROUND(E21-F21,2)</f>
        <v>0</v>
      </c>
      <c r="H21" s="8" t="str">
        <f aca="false">IF(G21=0,"Paid",IF(F21&gt;0,"Part paid","Invoiced, ON HOLD"))</f>
        <v>Paid</v>
      </c>
      <c r="I21" s="8" t="s">
        <v>1038</v>
      </c>
      <c r="J21" s="18" t="n">
        <f aca="false">ROUND(E21-SUMIFS('TP Line Items'!$F:$F,'TP Line Items'!$A:$A,$B21),2)</f>
        <v>0</v>
      </c>
      <c r="K21" s="8" t="s">
        <v>1001</v>
      </c>
      <c r="L21" s="8" t="s">
        <v>115</v>
      </c>
    </row>
    <row r="22" customFormat="false" ht="15" hidden="false" customHeight="true" outlineLevel="0" collapsed="false">
      <c r="A22" s="78"/>
      <c r="B22" s="78" t="s">
        <v>1039</v>
      </c>
      <c r="C22" s="78"/>
      <c r="D22" s="78"/>
      <c r="E22" s="104" t="n">
        <f aca="false">SUM(E5:E21)</f>
        <v>3216.92</v>
      </c>
      <c r="F22" s="104" t="n">
        <f aca="false">SUM(F5:F21)</f>
        <v>3216.92</v>
      </c>
      <c r="G22" s="104" t="n">
        <f aca="false">SUM(G5:G21)</f>
        <v>0</v>
      </c>
      <c r="H22" s="78"/>
      <c r="I22" s="78"/>
      <c r="J22" s="104" t="n">
        <f aca="false">SUM(J5:J21)</f>
        <v>0</v>
      </c>
      <c r="K22" s="78"/>
    </row>
    <row r="24" customFormat="false" ht="15.75" hidden="false" customHeight="true" outlineLevel="0" collapsed="false">
      <c r="A24" s="30" t="s">
        <v>1040</v>
      </c>
    </row>
    <row r="25" customFormat="false" ht="15" hidden="false" customHeight="true" outlineLevel="0" collapsed="false">
      <c r="A25" s="65"/>
      <c r="B25" s="65" t="s">
        <v>1041</v>
      </c>
      <c r="C25" s="65" t="s">
        <v>1042</v>
      </c>
      <c r="D25" s="65" t="s">
        <v>1043</v>
      </c>
      <c r="E25" s="65" t="s">
        <v>412</v>
      </c>
      <c r="F25" s="65" t="s">
        <v>534</v>
      </c>
      <c r="G25" s="65"/>
      <c r="H25" s="65"/>
      <c r="I25" s="65"/>
      <c r="J25" s="65"/>
      <c r="K25" s="65"/>
    </row>
    <row r="26" customFormat="false" ht="27.75" hidden="false" customHeight="true" outlineLevel="0" collapsed="false">
      <c r="A26" s="8"/>
      <c r="B26" s="103" t="n">
        <v>46252</v>
      </c>
      <c r="C26" s="8" t="s">
        <v>1044</v>
      </c>
      <c r="D26" s="8" t="s">
        <v>1045</v>
      </c>
      <c r="E26" s="18" t="n">
        <v>547.88</v>
      </c>
      <c r="F26" s="8" t="s">
        <v>554</v>
      </c>
      <c r="G26" s="8"/>
      <c r="H26" s="8"/>
      <c r="I26" s="8"/>
      <c r="J26" s="8"/>
      <c r="K26" s="8"/>
    </row>
    <row r="27" customFormat="false" ht="27.75" hidden="false" customHeight="true" outlineLevel="0" collapsed="false">
      <c r="A27" s="8"/>
      <c r="B27" s="103" t="n">
        <v>46276</v>
      </c>
      <c r="C27" s="8" t="s">
        <v>1046</v>
      </c>
      <c r="D27" s="8" t="s">
        <v>1047</v>
      </c>
      <c r="E27" s="18" t="n">
        <v>500</v>
      </c>
      <c r="F27" s="8" t="s">
        <v>554</v>
      </c>
      <c r="G27" s="8"/>
      <c r="H27" s="8"/>
      <c r="I27" s="8"/>
      <c r="J27" s="8"/>
      <c r="K27" s="8"/>
    </row>
    <row r="28" customFormat="false" ht="27.75" hidden="false" customHeight="true" outlineLevel="0" collapsed="false">
      <c r="A28" s="8"/>
      <c r="B28" s="103" t="n">
        <v>46300</v>
      </c>
      <c r="C28" s="8" t="s">
        <v>1048</v>
      </c>
      <c r="D28" s="8" t="s">
        <v>1049</v>
      </c>
      <c r="E28" s="18" t="n">
        <v>2313.89</v>
      </c>
      <c r="F28" s="8" t="s">
        <v>752</v>
      </c>
      <c r="G28" s="8"/>
      <c r="H28" s="8"/>
      <c r="I28" s="8"/>
      <c r="J28" s="8"/>
      <c r="K28" s="8"/>
    </row>
    <row r="29" customFormat="false" ht="15" hidden="false" customHeight="true" outlineLevel="0" collapsed="false">
      <c r="A29" s="78"/>
      <c r="B29" s="78" t="s">
        <v>1050</v>
      </c>
      <c r="C29" s="78"/>
      <c r="D29" s="78"/>
      <c r="E29" s="104" t="n">
        <f aca="false">E26+E27+E28</f>
        <v>3361.77</v>
      </c>
      <c r="F29" s="78"/>
      <c r="G29" s="78"/>
      <c r="H29" s="78"/>
      <c r="I29" s="78"/>
      <c r="J29" s="78"/>
      <c r="K29" s="78"/>
    </row>
    <row r="30" customFormat="false" ht="27.75" hidden="false" customHeight="true" outlineLevel="0" collapsed="false">
      <c r="A30" s="8"/>
      <c r="B30" s="103" t="n">
        <v>46301</v>
      </c>
      <c r="C30" s="8" t="s">
        <v>1051</v>
      </c>
      <c r="D30" s="8" t="s">
        <v>1052</v>
      </c>
      <c r="E30" s="18" t="n">
        <v>-144.85</v>
      </c>
      <c r="F30" s="8" t="s">
        <v>1053</v>
      </c>
      <c r="G30" s="8"/>
      <c r="H30" s="8"/>
      <c r="I30" s="8"/>
      <c r="J30" s="8"/>
      <c r="K30" s="8"/>
    </row>
    <row r="31" customFormat="false" ht="15" hidden="false" customHeight="true" outlineLevel="0" collapsed="false">
      <c r="A31" s="78"/>
      <c r="B31" s="78" t="s">
        <v>1054</v>
      </c>
      <c r="C31" s="78"/>
      <c r="D31" s="78"/>
      <c r="E31" s="104" t="n">
        <f aca="false">E29+E30</f>
        <v>3216.92</v>
      </c>
      <c r="F31" s="78"/>
      <c r="G31" s="78"/>
      <c r="H31" s="78"/>
      <c r="I31" s="78"/>
      <c r="J31" s="78"/>
      <c r="K31" s="78"/>
    </row>
    <row r="34" customFormat="false" ht="15.75" hidden="false" customHeight="true" outlineLevel="0" collapsed="false">
      <c r="A34" s="30" t="s">
        <v>1055</v>
      </c>
    </row>
    <row r="35" customFormat="false" ht="15" hidden="false" customHeight="true" outlineLevel="0" collapsed="false">
      <c r="A35" s="65"/>
      <c r="B35" s="65" t="s">
        <v>976</v>
      </c>
      <c r="C35" s="65" t="s">
        <v>266</v>
      </c>
      <c r="D35" s="65" t="s">
        <v>1056</v>
      </c>
      <c r="E35" s="65" t="s">
        <v>1057</v>
      </c>
      <c r="F35" s="65" t="s">
        <v>1058</v>
      </c>
      <c r="G35" s="65"/>
      <c r="H35" s="65"/>
      <c r="I35" s="65"/>
      <c r="J35" s="65"/>
      <c r="K35" s="65"/>
    </row>
    <row r="36" customFormat="false" ht="15" hidden="false" customHeight="true" outlineLevel="0" collapsed="false">
      <c r="A36" s="8"/>
      <c r="B36" s="102" t="s">
        <v>1059</v>
      </c>
      <c r="C36" s="103" t="n">
        <v>46216</v>
      </c>
      <c r="D36" s="8" t="s">
        <v>1060</v>
      </c>
      <c r="E36" s="18" t="n">
        <v>69.8</v>
      </c>
      <c r="F36" s="8" t="s">
        <v>1061</v>
      </c>
      <c r="G36" s="8"/>
      <c r="H36" s="8"/>
      <c r="I36" s="8"/>
      <c r="J36" s="8"/>
      <c r="K36" s="8"/>
    </row>
    <row r="37" customFormat="false" ht="15" hidden="false" customHeight="true" outlineLevel="0" collapsed="false">
      <c r="A37" s="8"/>
      <c r="B37" s="102" t="s">
        <v>1062</v>
      </c>
      <c r="C37" s="103" t="n">
        <v>46217</v>
      </c>
      <c r="D37" s="8" t="s">
        <v>1060</v>
      </c>
      <c r="E37" s="18" t="n">
        <v>30.65</v>
      </c>
      <c r="F37" s="8" t="s">
        <v>1061</v>
      </c>
      <c r="G37" s="8"/>
      <c r="H37" s="8"/>
      <c r="I37" s="8"/>
      <c r="J37" s="8"/>
      <c r="K37" s="8"/>
    </row>
    <row r="38" customFormat="false" ht="15" hidden="false" customHeight="true" outlineLevel="0" collapsed="false">
      <c r="A38" s="8"/>
      <c r="B38" s="102" t="s">
        <v>1063</v>
      </c>
      <c r="C38" s="103" t="n">
        <v>46218</v>
      </c>
      <c r="D38" s="8" t="s">
        <v>1064</v>
      </c>
      <c r="E38" s="18" t="n">
        <v>30.69</v>
      </c>
      <c r="F38" s="8" t="s">
        <v>1061</v>
      </c>
      <c r="G38" s="8"/>
      <c r="H38" s="8"/>
      <c r="I38" s="8"/>
      <c r="J38" s="8"/>
      <c r="K38" s="8"/>
    </row>
    <row r="39" customFormat="false" ht="15" hidden="false" customHeight="true" outlineLevel="0" collapsed="false">
      <c r="A39" s="8"/>
      <c r="B39" s="102" t="s">
        <v>1065</v>
      </c>
      <c r="C39" s="103" t="n">
        <v>46218</v>
      </c>
      <c r="D39" s="8" t="s">
        <v>1064</v>
      </c>
      <c r="E39" s="18" t="n">
        <v>13.71</v>
      </c>
      <c r="F39" s="8" t="s">
        <v>1061</v>
      </c>
      <c r="G39" s="8"/>
      <c r="H39" s="8"/>
      <c r="I39" s="8"/>
      <c r="J39" s="8"/>
      <c r="K39" s="8"/>
    </row>
    <row r="40" customFormat="false" ht="15" hidden="false" customHeight="true" outlineLevel="0" collapsed="false">
      <c r="A40" s="8"/>
      <c r="B40" s="102" t="s">
        <v>702</v>
      </c>
      <c r="C40" s="103" t="n">
        <v>46245</v>
      </c>
      <c r="D40" s="8" t="s">
        <v>1066</v>
      </c>
      <c r="E40" s="18" t="n">
        <f aca="false">F7</f>
        <v>108.14</v>
      </c>
      <c r="F40" s="8" t="s">
        <v>1067</v>
      </c>
      <c r="G40" s="8"/>
      <c r="H40" s="8"/>
      <c r="I40" s="8"/>
      <c r="J40" s="8"/>
      <c r="K40" s="8"/>
    </row>
    <row r="41" customFormat="false" ht="68.25" hidden="false" customHeight="true" outlineLevel="0" collapsed="false">
      <c r="A41" s="8"/>
      <c r="B41" s="102" t="s">
        <v>994</v>
      </c>
      <c r="C41" s="103" t="n">
        <v>46251</v>
      </c>
      <c r="D41" s="8" t="s">
        <v>1066</v>
      </c>
      <c r="E41" s="18" t="n">
        <v>247.01</v>
      </c>
      <c r="F41" s="8" t="s">
        <v>1068</v>
      </c>
      <c r="G41" s="8"/>
      <c r="H41" s="8"/>
      <c r="I41" s="8"/>
      <c r="J41" s="8"/>
      <c r="K41" s="8"/>
    </row>
    <row r="42" customFormat="false" ht="15" hidden="false" customHeight="true" outlineLevel="0" collapsed="false">
      <c r="A42" s="78"/>
      <c r="B42" s="78" t="s">
        <v>1069</v>
      </c>
      <c r="C42" s="78"/>
      <c r="D42" s="78"/>
      <c r="E42" s="104" t="n">
        <f aca="false">SUM(E36:E41)</f>
        <v>500</v>
      </c>
      <c r="F42" s="78"/>
      <c r="G42" s="78"/>
      <c r="H42" s="78"/>
      <c r="I42" s="78"/>
      <c r="J42" s="78"/>
      <c r="K42" s="78"/>
    </row>
    <row r="43" customFormat="false" ht="15" hidden="false" customHeight="true" outlineLevel="0" collapsed="false">
      <c r="A43" s="8"/>
      <c r="B43" s="8" t="s">
        <v>1070</v>
      </c>
      <c r="C43" s="8"/>
      <c r="D43" s="8"/>
      <c r="E43" s="18" t="n">
        <f aca="false">ROUND(E27-E42,2)</f>
        <v>0</v>
      </c>
      <c r="F43" s="8"/>
      <c r="G43" s="8"/>
      <c r="H43" s="8"/>
      <c r="I43" s="8"/>
      <c r="J43" s="8"/>
      <c r="K43" s="8"/>
    </row>
    <row r="44" customFormat="false" ht="15" hidden="false" customHeight="true" outlineLevel="0" collapsed="false">
      <c r="A44" s="8"/>
      <c r="B44" s="8" t="s">
        <v>1071</v>
      </c>
      <c r="C44" s="8"/>
      <c r="D44" s="8"/>
      <c r="E44" s="18" t="n">
        <f aca="false">SUMIF(F36:F41,"No*",E36:E41)</f>
        <v>144.85</v>
      </c>
      <c r="F44" s="8"/>
      <c r="G44" s="8"/>
      <c r="H44" s="8"/>
      <c r="I44" s="8"/>
      <c r="J44" s="8"/>
      <c r="K44" s="8"/>
    </row>
    <row r="45" customFormat="false" ht="15" hidden="false" customHeight="true" outlineLevel="0" collapsed="false">
      <c r="A45" s="8"/>
      <c r="B45" s="8" t="s">
        <v>1072</v>
      </c>
      <c r="C45" s="8"/>
      <c r="D45" s="8"/>
      <c r="E45" s="18" t="n">
        <f aca="false">SUMIF(F36:F41,"Yes*",E36:E41)</f>
        <v>355.15</v>
      </c>
      <c r="F45" s="8"/>
      <c r="G45" s="8"/>
      <c r="H45" s="8"/>
      <c r="I45" s="8"/>
      <c r="J45" s="8"/>
      <c r="K45" s="8"/>
    </row>
    <row r="48" customFormat="false" ht="15.75" hidden="false" customHeight="true" outlineLevel="0" collapsed="false">
      <c r="A48" s="30" t="s">
        <v>1073</v>
      </c>
    </row>
    <row r="49" customFormat="false" ht="15" hidden="false" customHeight="true" outlineLevel="0" collapsed="false">
      <c r="A49" s="65"/>
      <c r="B49" s="65" t="s">
        <v>188</v>
      </c>
      <c r="C49" s="65"/>
      <c r="D49" s="65"/>
      <c r="E49" s="65" t="s">
        <v>412</v>
      </c>
      <c r="F49" s="65"/>
      <c r="G49" s="65"/>
      <c r="H49" s="65"/>
      <c r="I49" s="65"/>
      <c r="J49" s="65"/>
      <c r="K49" s="65"/>
    </row>
    <row r="50" customFormat="false" ht="15" hidden="false" customHeight="true" outlineLevel="0" collapsed="false">
      <c r="A50" s="8"/>
      <c r="B50" s="8" t="s">
        <v>1074</v>
      </c>
      <c r="C50" s="8"/>
      <c r="D50" s="8"/>
      <c r="E50" s="18" t="n">
        <f aca="false">ROUND(E8-E41,2)</f>
        <v>100.11</v>
      </c>
      <c r="F50" s="8"/>
      <c r="G50" s="8"/>
      <c r="H50" s="8"/>
      <c r="I50" s="8"/>
      <c r="J50" s="8"/>
      <c r="K50" s="8"/>
    </row>
    <row r="51" customFormat="false" ht="15" hidden="false" customHeight="true" outlineLevel="0" collapsed="false">
      <c r="A51" s="8"/>
      <c r="B51" s="8" t="s">
        <v>1075</v>
      </c>
      <c r="C51" s="8"/>
      <c r="D51" s="8"/>
      <c r="E51" s="18" t="n">
        <f aca="false">SUM(E9:E21)</f>
        <v>2213.78</v>
      </c>
      <c r="F51" s="8"/>
      <c r="G51" s="8"/>
      <c r="H51" s="8"/>
      <c r="I51" s="8"/>
      <c r="J51" s="8"/>
      <c r="K51" s="8"/>
    </row>
    <row r="52" customFormat="false" ht="27.75" hidden="false" customHeight="true" outlineLevel="0" collapsed="false">
      <c r="A52" s="8"/>
      <c r="B52" s="8" t="s">
        <v>1076</v>
      </c>
      <c r="C52" s="8"/>
      <c r="D52" s="8"/>
      <c r="E52" s="18" t="n">
        <f aca="false">-E44</f>
        <v>-144.85</v>
      </c>
      <c r="F52" s="8"/>
      <c r="G52" s="8"/>
      <c r="H52" s="8"/>
      <c r="I52" s="8"/>
      <c r="J52" s="8"/>
      <c r="K52" s="8"/>
    </row>
    <row r="53" customFormat="false" ht="15" hidden="false" customHeight="true" outlineLevel="0" collapsed="false">
      <c r="A53" s="78"/>
      <c r="B53" s="78" t="s">
        <v>1077</v>
      </c>
      <c r="C53" s="78"/>
      <c r="D53" s="78"/>
      <c r="E53" s="104" t="n">
        <f aca="false">SUM(E50:E52)</f>
        <v>2169.04</v>
      </c>
      <c r="F53" s="78"/>
      <c r="G53" s="78"/>
      <c r="H53" s="78"/>
      <c r="I53" s="78"/>
      <c r="J53" s="78"/>
      <c r="K53" s="78"/>
    </row>
    <row r="54" customFormat="false" ht="15" hidden="false" customHeight="true" outlineLevel="0" collapsed="false">
      <c r="A54" s="8"/>
      <c r="B54" s="8" t="s">
        <v>1078</v>
      </c>
      <c r="C54" s="8"/>
      <c r="D54" s="8"/>
      <c r="E54" s="18" t="n">
        <f aca="false">E53-SUMIFS('TP Line Items'!$F:$F,'TP Line Items'!$D:$D,"Refundable pallet deposit")</f>
        <v>2138.74</v>
      </c>
      <c r="F54" s="8"/>
      <c r="G54" s="8"/>
      <c r="H54" s="8"/>
      <c r="I54" s="8"/>
      <c r="J54" s="8"/>
      <c r="K54" s="8"/>
    </row>
    <row r="55" customFormat="false" ht="27.75" hidden="false" customHeight="true" outlineLevel="0" collapsed="false">
      <c r="A55" s="8"/>
      <c r="B55" s="8" t="s">
        <v>1079</v>
      </c>
      <c r="C55" s="8"/>
      <c r="D55" s="8"/>
      <c r="E55" s="18" t="n">
        <f aca="false">E28+E30</f>
        <v>2169.04</v>
      </c>
      <c r="F55" s="8"/>
      <c r="G55" s="8"/>
      <c r="H55" s="8"/>
      <c r="I55" s="8"/>
      <c r="J55" s="8"/>
      <c r="K55" s="8"/>
    </row>
    <row r="56" customFormat="false" ht="15" hidden="false" customHeight="true" outlineLevel="0" collapsed="false">
      <c r="A56" s="8"/>
      <c r="B56" s="8" t="s">
        <v>1080</v>
      </c>
      <c r="C56" s="8"/>
      <c r="D56" s="8"/>
      <c r="E56" s="18" t="n">
        <f aca="false">ROUND(E53-E55,2)</f>
        <v>0</v>
      </c>
      <c r="F56" s="8"/>
      <c r="G56" s="8"/>
      <c r="H56" s="8"/>
      <c r="I56" s="8"/>
      <c r="J56" s="8"/>
      <c r="K56" s="8"/>
    </row>
    <row r="57" customFormat="false" ht="27.75" hidden="false" customHeight="true" outlineLevel="0" collapsed="false">
      <c r="A57" s="8"/>
      <c r="B57" s="8" t="s">
        <v>1081</v>
      </c>
      <c r="C57" s="8"/>
      <c r="D57" s="8"/>
      <c r="E57" s="18" t="n">
        <f aca="false">ROUND(SUMIF('Invoice Register'!$C:$C,"*Travis Perkins*",'Invoice Register'!$F:$F)-E22,2)</f>
        <v>0</v>
      </c>
      <c r="F57" s="8"/>
      <c r="G57" s="8"/>
      <c r="H57" s="8"/>
      <c r="I57" s="8"/>
      <c r="J57" s="8"/>
      <c r="K57" s="8"/>
    </row>
    <row r="58" customFormat="false" ht="15" hidden="false" customHeight="true" outlineLevel="0" collapsed="false">
      <c r="B58" s="8" t="s">
        <v>1082</v>
      </c>
      <c r="E58" s="18" t="n">
        <f aca="false">ROUND(E22-E31,2)</f>
        <v>0</v>
      </c>
    </row>
    <row r="59" customFormat="false" ht="15" hidden="false" customHeight="true" outlineLevel="0" collapsed="false">
      <c r="B59" s="1" t="s">
        <v>1083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B82F6"/>
    <pageSetUpPr fitToPage="false"/>
  </sheetPr>
  <dimension ref="A1:G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58"/>
    <col collapsed="false" customWidth="true" hidden="false" outlineLevel="0" max="3" min="3" style="1" width="18"/>
    <col collapsed="false" customWidth="true" hidden="false" outlineLevel="0" max="5" min="4" style="1" width="15"/>
    <col collapsed="false" customWidth="true" hidden="false" outlineLevel="0" max="6" min="6" style="1" width="26"/>
    <col collapsed="false" customWidth="true" hidden="false" outlineLevel="0" max="7" min="7" style="1" width="46"/>
  </cols>
  <sheetData>
    <row r="1" customFormat="false" ht="19.5" hidden="false" customHeight="true" outlineLevel="0" collapsed="false">
      <c r="A1" s="2" t="s">
        <v>1084</v>
      </c>
    </row>
    <row r="2" customFormat="false" ht="15" hidden="false" customHeight="true" outlineLevel="0" collapsed="false">
      <c r="A2" s="5" t="s">
        <v>1085</v>
      </c>
    </row>
    <row r="4" customFormat="false" ht="15" hidden="false" customHeight="true" outlineLevel="0" collapsed="false">
      <c r="A4" s="65" t="s">
        <v>188</v>
      </c>
      <c r="B4" s="65" t="s">
        <v>1086</v>
      </c>
      <c r="C4" s="65" t="s">
        <v>1087</v>
      </c>
      <c r="D4" s="65" t="s">
        <v>1088</v>
      </c>
      <c r="E4" s="65" t="s">
        <v>1089</v>
      </c>
      <c r="F4" s="65" t="s">
        <v>1090</v>
      </c>
      <c r="G4" s="65" t="s">
        <v>1091</v>
      </c>
    </row>
    <row r="5" customFormat="false" ht="15" hidden="false" customHeight="true" outlineLevel="0" collapsed="false">
      <c r="A5" s="8" t="s">
        <v>1092</v>
      </c>
      <c r="B5" s="8" t="s">
        <v>1093</v>
      </c>
      <c r="C5" s="18" t="n">
        <f aca="false">SUMIFS('TP Line Items'!$F:$F,'TP Line Items'!$D:$D,$A5)</f>
        <v>493.14</v>
      </c>
      <c r="D5" s="103" t="n">
        <f aca="false">_xlfn.MINIFS('TP Line Items'!$B:$B,'TP Line Items'!$D:$D,$A5)</f>
        <v>46251</v>
      </c>
      <c r="E5" s="103" t="n">
        <f aca="false">_xlfn.MAXIFS('TP Line Items'!$B:$B,'TP Line Items'!$D:$D,$A5)</f>
        <v>46275</v>
      </c>
      <c r="F5" s="8" t="s">
        <v>1094</v>
      </c>
      <c r="G5" s="8" t="s">
        <v>1095</v>
      </c>
    </row>
    <row r="6" customFormat="false" ht="15" hidden="false" customHeight="true" outlineLevel="0" collapsed="false">
      <c r="A6" s="8" t="s">
        <v>1096</v>
      </c>
      <c r="B6" s="8" t="s">
        <v>1097</v>
      </c>
      <c r="C6" s="18" t="n">
        <f aca="false">SUMIFS('TP Line Items'!$F:$F,'TP Line Items'!$D:$D,$A6)</f>
        <v>431.47</v>
      </c>
      <c r="D6" s="103" t="n">
        <f aca="false">_xlfn.MINIFS('TP Line Items'!$B:$B,'TP Line Items'!$D:$D,$A6)</f>
        <v>46251</v>
      </c>
      <c r="E6" s="103" t="n">
        <f aca="false">_xlfn.MAXIFS('TP Line Items'!$B:$B,'TP Line Items'!$D:$D,$A6)</f>
        <v>46286</v>
      </c>
      <c r="F6" s="8" t="s">
        <v>1098</v>
      </c>
      <c r="G6" s="8" t="s">
        <v>1099</v>
      </c>
    </row>
    <row r="7" customFormat="false" ht="27.75" hidden="false" customHeight="true" outlineLevel="0" collapsed="false">
      <c r="A7" s="8" t="s">
        <v>1100</v>
      </c>
      <c r="B7" s="8" t="s">
        <v>1101</v>
      </c>
      <c r="C7" s="18" t="n">
        <f aca="false">SUMIFS('TP Line Items'!$F:$F,'TP Line Items'!$D:$D,$A7)</f>
        <v>393.97</v>
      </c>
      <c r="D7" s="103" t="n">
        <f aca="false">_xlfn.MINIFS('TP Line Items'!$B:$B,'TP Line Items'!$D:$D,$A7)</f>
        <v>46245</v>
      </c>
      <c r="E7" s="103" t="n">
        <f aca="false">_xlfn.MAXIFS('TP Line Items'!$B:$B,'TP Line Items'!$D:$D,$A7)</f>
        <v>46286</v>
      </c>
      <c r="F7" s="8" t="s">
        <v>1102</v>
      </c>
      <c r="G7" s="8" t="s">
        <v>1103</v>
      </c>
    </row>
    <row r="8" customFormat="false" ht="15" hidden="false" customHeight="true" outlineLevel="0" collapsed="false">
      <c r="A8" s="8" t="s">
        <v>184</v>
      </c>
      <c r="B8" s="8" t="s">
        <v>1104</v>
      </c>
      <c r="C8" s="18" t="n">
        <f aca="false">SUMIFS('TP Line Items'!$F:$F,'TP Line Items'!$D:$D,$A8)</f>
        <v>283.32</v>
      </c>
      <c r="D8" s="103" t="n">
        <f aca="false">_xlfn.MINIFS('TP Line Items'!$B:$B,'TP Line Items'!$D:$D,$A8)</f>
        <v>46276</v>
      </c>
      <c r="E8" s="103" t="n">
        <f aca="false">_xlfn.MAXIFS('TP Line Items'!$B:$B,'TP Line Items'!$D:$D,$A8)</f>
        <v>46276</v>
      </c>
      <c r="F8" s="8" t="s">
        <v>1105</v>
      </c>
      <c r="G8" s="8" t="s">
        <v>1106</v>
      </c>
    </row>
    <row r="9" customFormat="false" ht="27.75" hidden="false" customHeight="true" outlineLevel="0" collapsed="false">
      <c r="A9" s="8" t="s">
        <v>1107</v>
      </c>
      <c r="B9" s="8" t="s">
        <v>1108</v>
      </c>
      <c r="C9" s="18" t="n">
        <f aca="false">SUMIFS('TP Line Items'!$F:$F,'TP Line Items'!$D:$D,$A9)</f>
        <v>187.66</v>
      </c>
      <c r="D9" s="103" t="n">
        <f aca="false">_xlfn.MINIFS('TP Line Items'!$B:$B,'TP Line Items'!$D:$D,$A9)</f>
        <v>46245</v>
      </c>
      <c r="E9" s="103" t="n">
        <f aca="false">_xlfn.MAXIFS('TP Line Items'!$B:$B,'TP Line Items'!$D:$D,$A9)</f>
        <v>46286</v>
      </c>
      <c r="F9" s="8" t="s">
        <v>1109</v>
      </c>
      <c r="G9" s="8" t="s">
        <v>1110</v>
      </c>
    </row>
    <row r="10" customFormat="false" ht="15" hidden="false" customHeight="true" outlineLevel="0" collapsed="false">
      <c r="A10" s="8" t="s">
        <v>1111</v>
      </c>
      <c r="B10" s="8" t="s">
        <v>1112</v>
      </c>
      <c r="C10" s="18" t="n">
        <f aca="false">SUMIFS('TP Line Items'!$F:$F,'TP Line Items'!$D:$D,$A10)</f>
        <v>108.76</v>
      </c>
      <c r="D10" s="103" t="n">
        <f aca="false">_xlfn.MINIFS('TP Line Items'!$B:$B,'TP Line Items'!$D:$D,$A10)</f>
        <v>46245</v>
      </c>
      <c r="E10" s="103" t="n">
        <f aca="false">_xlfn.MAXIFS('TP Line Items'!$B:$B,'TP Line Items'!$D:$D,$A10)</f>
        <v>46251</v>
      </c>
      <c r="F10" s="8" t="s">
        <v>1113</v>
      </c>
      <c r="G10" s="8" t="s">
        <v>1114</v>
      </c>
    </row>
    <row r="11" customFormat="false" ht="15" hidden="false" customHeight="true" outlineLevel="0" collapsed="false">
      <c r="A11" s="8" t="s">
        <v>1115</v>
      </c>
      <c r="B11" s="8" t="s">
        <v>1116</v>
      </c>
      <c r="C11" s="18" t="n">
        <f aca="false">SUMIFS('TP Line Items'!$F:$F,'TP Line Items'!$D:$D,$A11)</f>
        <v>84.05</v>
      </c>
      <c r="D11" s="103" t="n">
        <f aca="false">_xlfn.MINIFS('TP Line Items'!$B:$B,'TP Line Items'!$D:$D,$A11)</f>
        <v>46253</v>
      </c>
      <c r="E11" s="103" t="n">
        <f aca="false">_xlfn.MAXIFS('TP Line Items'!$B:$B,'TP Line Items'!$D:$D,$A11)</f>
        <v>46273</v>
      </c>
      <c r="F11" s="8" t="s">
        <v>1117</v>
      </c>
      <c r="G11" s="8" t="s">
        <v>1118</v>
      </c>
    </row>
    <row r="12" customFormat="false" ht="27.75" hidden="false" customHeight="true" outlineLevel="0" collapsed="false">
      <c r="A12" s="8" t="s">
        <v>1119</v>
      </c>
      <c r="B12" s="8" t="s">
        <v>1120</v>
      </c>
      <c r="C12" s="18" t="n">
        <f aca="false">SUMIFS('TP Line Items'!$F:$F,'TP Line Items'!$D:$D,$A12)</f>
        <v>656.37</v>
      </c>
      <c r="D12" s="103" t="n">
        <f aca="false">_xlfn.MINIFS('TP Line Items'!$B:$B,'TP Line Items'!$D:$D,$A12)</f>
        <v>46274</v>
      </c>
      <c r="E12" s="103" t="n">
        <f aca="false">_xlfn.MAXIFS('TP Line Items'!$B:$B,'TP Line Items'!$D:$D,$A12)</f>
        <v>46279</v>
      </c>
      <c r="F12" s="8" t="s">
        <v>1121</v>
      </c>
      <c r="G12" s="8" t="s">
        <v>1122</v>
      </c>
    </row>
    <row r="13" customFormat="false" ht="15" hidden="false" customHeight="true" outlineLevel="0" collapsed="false">
      <c r="A13" s="8" t="s">
        <v>1123</v>
      </c>
      <c r="B13" s="8" t="s">
        <v>1124</v>
      </c>
      <c r="C13" s="18" t="n">
        <f aca="false">SUMIFS('TP Line Items'!$F:$F,'TP Line Items'!$D:$D,$A13)</f>
        <v>30.3</v>
      </c>
      <c r="D13" s="103" t="n">
        <f aca="false">_xlfn.MINIFS('TP Line Items'!$B:$B,'TP Line Items'!$D:$D,$A13)</f>
        <v>46254</v>
      </c>
      <c r="E13" s="103" t="n">
        <f aca="false">_xlfn.MAXIFS('TP Line Items'!$B:$B,'TP Line Items'!$D:$D,$A13)</f>
        <v>46254</v>
      </c>
      <c r="F13" s="8" t="s">
        <v>174</v>
      </c>
      <c r="G13" s="8" t="s">
        <v>1125</v>
      </c>
    </row>
    <row r="14" customFormat="false" ht="15" hidden="false" customHeight="true" outlineLevel="0" collapsed="false">
      <c r="A14" s="78" t="s">
        <v>1126</v>
      </c>
      <c r="B14" s="78"/>
      <c r="C14" s="104" t="n">
        <f aca="false">SUM(C5:C13)</f>
        <v>2669.04</v>
      </c>
      <c r="D14" s="78"/>
      <c r="E14" s="78"/>
      <c r="F14" s="78"/>
      <c r="G14" s="78"/>
    </row>
    <row r="15" customFormat="false" ht="27.75" hidden="false" customHeight="true" outlineLevel="0" collapsed="false">
      <c r="A15" s="8" t="s">
        <v>1127</v>
      </c>
      <c r="B15" s="8" t="s">
        <v>1128</v>
      </c>
      <c r="C15" s="18" t="n">
        <f aca="false">SUMIFS('TP Line Items'!$F:$F,'TP Line Items'!$D:$D,$A15)</f>
        <v>547.88</v>
      </c>
      <c r="D15" s="8" t="s">
        <v>1129</v>
      </c>
      <c r="E15" s="8" t="s">
        <v>1130</v>
      </c>
      <c r="F15" s="8" t="s">
        <v>1131</v>
      </c>
      <c r="G15" s="8" t="s">
        <v>1132</v>
      </c>
    </row>
    <row r="16" customFormat="false" ht="15" hidden="false" customHeight="true" outlineLevel="0" collapsed="false">
      <c r="A16" s="78" t="s">
        <v>1133</v>
      </c>
      <c r="B16" s="78"/>
      <c r="C16" s="104" t="n">
        <f aca="false">C14+C15</f>
        <v>3216.92</v>
      </c>
      <c r="D16" s="78"/>
      <c r="E16" s="78"/>
      <c r="F16" s="78"/>
      <c r="G16" s="78"/>
    </row>
    <row r="17" customFormat="false" ht="27.75" hidden="false" customHeight="true" outlineLevel="0" collapsed="false">
      <c r="A17" s="8" t="s">
        <v>1134</v>
      </c>
      <c r="B17" s="8"/>
      <c r="C17" s="18" t="n">
        <f aca="false">ROUND('TP Account'!E22-C16,2)</f>
        <v>0</v>
      </c>
      <c r="D17" s="8"/>
      <c r="E17" s="8"/>
      <c r="F17" s="8"/>
      <c r="G17" s="8"/>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B82F6"/>
    <pageSetUpPr fitToPage="false"/>
  </sheetPr>
  <dimension ref="A1:H5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8"/>
    <col collapsed="false" customWidth="true" hidden="false" outlineLevel="0" max="2" min="2" style="1" width="16"/>
    <col collapsed="false" customWidth="true" hidden="false" outlineLevel="0" max="3" min="3" style="1" width="58"/>
    <col collapsed="false" customWidth="true" hidden="false" outlineLevel="0" max="4" min="4" style="1" width="36"/>
    <col collapsed="false" customWidth="true" hidden="false" outlineLevel="0" max="5" min="5" style="1" width="8"/>
    <col collapsed="false" customWidth="true" hidden="false" outlineLevel="0" max="6" min="6" style="1" width="18"/>
    <col collapsed="false" customWidth="true" hidden="false" outlineLevel="0" max="7" min="7" style="1" width="28"/>
    <col collapsed="false" customWidth="true" hidden="false" outlineLevel="0" max="8" min="8" style="1" width="60"/>
  </cols>
  <sheetData>
    <row r="1" customFormat="false" ht="19.5" hidden="false" customHeight="true" outlineLevel="0" collapsed="false">
      <c r="A1" s="2" t="s">
        <v>1135</v>
      </c>
    </row>
    <row r="2" customFormat="false" ht="15" hidden="false" customHeight="true" outlineLevel="0" collapsed="false">
      <c r="A2" s="5" t="s">
        <v>1136</v>
      </c>
    </row>
    <row r="4" customFormat="false" ht="15" hidden="false" customHeight="true" outlineLevel="0" collapsed="false">
      <c r="A4" s="65" t="s">
        <v>976</v>
      </c>
      <c r="B4" s="65" t="s">
        <v>266</v>
      </c>
      <c r="C4" s="65" t="s">
        <v>188</v>
      </c>
      <c r="D4" s="65" t="s">
        <v>1137</v>
      </c>
      <c r="E4" s="65" t="s">
        <v>762</v>
      </c>
      <c r="F4" s="65" t="s">
        <v>1138</v>
      </c>
      <c r="G4" s="65" t="s">
        <v>272</v>
      </c>
      <c r="H4" s="65" t="s">
        <v>535</v>
      </c>
    </row>
    <row r="5" customFormat="false" ht="27.75" hidden="false" customHeight="true" outlineLevel="0" collapsed="false">
      <c r="A5" s="102" t="s">
        <v>981</v>
      </c>
      <c r="B5" s="8" t="s">
        <v>982</v>
      </c>
      <c r="C5" s="8" t="s">
        <v>1139</v>
      </c>
      <c r="D5" s="8" t="s">
        <v>1127</v>
      </c>
      <c r="E5" s="8"/>
      <c r="F5" s="18" t="n">
        <v>481.28</v>
      </c>
      <c r="G5" s="8" t="s">
        <v>292</v>
      </c>
      <c r="H5" s="8" t="s">
        <v>546</v>
      </c>
    </row>
    <row r="6" customFormat="false" ht="15" hidden="false" customHeight="true" outlineLevel="0" collapsed="false">
      <c r="A6" s="102" t="s">
        <v>981</v>
      </c>
      <c r="B6" s="8" t="s">
        <v>982</v>
      </c>
      <c r="C6" s="8" t="s">
        <v>1140</v>
      </c>
      <c r="D6" s="8" t="s">
        <v>1127</v>
      </c>
      <c r="E6" s="8"/>
      <c r="F6" s="18" t="n">
        <v>26.42</v>
      </c>
      <c r="G6" s="8" t="s">
        <v>292</v>
      </c>
      <c r="H6" s="8" t="s">
        <v>546</v>
      </c>
    </row>
    <row r="7" customFormat="false" ht="15" hidden="false" customHeight="true" outlineLevel="0" collapsed="false">
      <c r="A7" s="102" t="s">
        <v>987</v>
      </c>
      <c r="B7" s="103" t="n">
        <v>46244</v>
      </c>
      <c r="C7" s="8" t="s">
        <v>988</v>
      </c>
      <c r="D7" s="8" t="s">
        <v>1127</v>
      </c>
      <c r="E7" s="8"/>
      <c r="F7" s="18" t="n">
        <v>40.18</v>
      </c>
      <c r="G7" s="8" t="s">
        <v>292</v>
      </c>
      <c r="H7" s="8" t="s">
        <v>546</v>
      </c>
    </row>
    <row r="8" customFormat="false" ht="15" hidden="false" customHeight="true" outlineLevel="0" collapsed="false">
      <c r="A8" s="102" t="s">
        <v>702</v>
      </c>
      <c r="B8" s="103" t="n">
        <v>46245</v>
      </c>
      <c r="C8" s="8" t="s">
        <v>1141</v>
      </c>
      <c r="D8" s="8" t="s">
        <v>1111</v>
      </c>
      <c r="E8" s="8" t="n">
        <v>2</v>
      </c>
      <c r="F8" s="18" t="n">
        <v>8.86</v>
      </c>
      <c r="G8" s="8" t="s">
        <v>285</v>
      </c>
      <c r="H8" s="8" t="s">
        <v>654</v>
      </c>
    </row>
    <row r="9" customFormat="false" ht="15" hidden="false" customHeight="true" outlineLevel="0" collapsed="false">
      <c r="A9" s="102" t="s">
        <v>702</v>
      </c>
      <c r="B9" s="103" t="n">
        <v>46245</v>
      </c>
      <c r="C9" s="8" t="s">
        <v>1142</v>
      </c>
      <c r="D9" s="8" t="s">
        <v>1111</v>
      </c>
      <c r="E9" s="8" t="n">
        <v>4</v>
      </c>
      <c r="F9" s="18" t="n">
        <v>17.71</v>
      </c>
      <c r="G9" s="8" t="s">
        <v>285</v>
      </c>
      <c r="H9" s="8" t="s">
        <v>654</v>
      </c>
    </row>
    <row r="10" customFormat="false" ht="15" hidden="false" customHeight="true" outlineLevel="0" collapsed="false">
      <c r="A10" s="102" t="s">
        <v>702</v>
      </c>
      <c r="B10" s="103" t="n">
        <v>46245</v>
      </c>
      <c r="C10" s="8" t="s">
        <v>1143</v>
      </c>
      <c r="D10" s="8" t="s">
        <v>1100</v>
      </c>
      <c r="E10" s="8" t="n">
        <v>2</v>
      </c>
      <c r="F10" s="18" t="n">
        <v>45.14</v>
      </c>
      <c r="G10" s="8" t="s">
        <v>285</v>
      </c>
      <c r="H10" s="8" t="s">
        <v>654</v>
      </c>
    </row>
    <row r="11" customFormat="false" ht="15" hidden="false" customHeight="true" outlineLevel="0" collapsed="false">
      <c r="A11" s="102" t="s">
        <v>702</v>
      </c>
      <c r="B11" s="103" t="n">
        <v>46245</v>
      </c>
      <c r="C11" s="8" t="s">
        <v>1144</v>
      </c>
      <c r="D11" s="8" t="s">
        <v>1107</v>
      </c>
      <c r="E11" s="8" t="n">
        <v>1</v>
      </c>
      <c r="F11" s="18" t="n">
        <v>36.43</v>
      </c>
      <c r="G11" s="8" t="s">
        <v>285</v>
      </c>
      <c r="H11" s="8" t="s">
        <v>654</v>
      </c>
    </row>
    <row r="12" customFormat="false" ht="15" hidden="false" customHeight="true" outlineLevel="0" collapsed="false">
      <c r="A12" s="102" t="s">
        <v>994</v>
      </c>
      <c r="B12" s="103" t="n">
        <v>46251</v>
      </c>
      <c r="C12" s="8" t="s">
        <v>1145</v>
      </c>
      <c r="D12" s="8" t="s">
        <v>1092</v>
      </c>
      <c r="E12" s="8" t="n">
        <v>1</v>
      </c>
      <c r="F12" s="18" t="n">
        <v>82.19</v>
      </c>
      <c r="G12" s="8" t="s">
        <v>285</v>
      </c>
      <c r="H12" s="8" t="s">
        <v>654</v>
      </c>
    </row>
    <row r="13" customFormat="false" ht="15" hidden="false" customHeight="true" outlineLevel="0" collapsed="false">
      <c r="A13" s="102" t="s">
        <v>994</v>
      </c>
      <c r="B13" s="103" t="n">
        <v>46251</v>
      </c>
      <c r="C13" s="8" t="s">
        <v>1146</v>
      </c>
      <c r="D13" s="8" t="s">
        <v>1111</v>
      </c>
      <c r="E13" s="8" t="n">
        <v>1</v>
      </c>
      <c r="F13" s="18" t="n">
        <v>82.19</v>
      </c>
      <c r="G13" s="8" t="s">
        <v>285</v>
      </c>
      <c r="H13" s="8" t="s">
        <v>654</v>
      </c>
    </row>
    <row r="14" customFormat="false" ht="15" hidden="false" customHeight="true" outlineLevel="0" collapsed="false">
      <c r="A14" s="102" t="s">
        <v>994</v>
      </c>
      <c r="B14" s="103" t="n">
        <v>46251</v>
      </c>
      <c r="C14" s="8" t="s">
        <v>1147</v>
      </c>
      <c r="D14" s="8" t="s">
        <v>1096</v>
      </c>
      <c r="E14" s="8" t="n">
        <v>72</v>
      </c>
      <c r="F14" s="18" t="n">
        <v>182.74</v>
      </c>
      <c r="G14" s="8" t="s">
        <v>285</v>
      </c>
      <c r="H14" s="8" t="s">
        <v>654</v>
      </c>
    </row>
    <row r="15" customFormat="false" ht="15" hidden="false" customHeight="true" outlineLevel="0" collapsed="false">
      <c r="A15" s="102" t="s">
        <v>650</v>
      </c>
      <c r="B15" s="103" t="n">
        <v>46252</v>
      </c>
      <c r="C15" s="8" t="s">
        <v>1148</v>
      </c>
      <c r="D15" s="8" t="s">
        <v>1100</v>
      </c>
      <c r="E15" s="8" t="n">
        <v>12</v>
      </c>
      <c r="F15" s="18" t="n">
        <v>102.1</v>
      </c>
      <c r="G15" s="8" t="s">
        <v>285</v>
      </c>
      <c r="H15" s="8" t="s">
        <v>654</v>
      </c>
    </row>
    <row r="16" customFormat="false" ht="15" hidden="false" customHeight="true" outlineLevel="0" collapsed="false">
      <c r="A16" s="102" t="s">
        <v>650</v>
      </c>
      <c r="B16" s="103" t="n">
        <v>46252</v>
      </c>
      <c r="C16" s="8" t="s">
        <v>1149</v>
      </c>
      <c r="D16" s="8" t="s">
        <v>1107</v>
      </c>
      <c r="E16" s="8" t="n">
        <v>1</v>
      </c>
      <c r="F16" s="18" t="n">
        <v>42.48</v>
      </c>
      <c r="G16" s="8" t="s">
        <v>285</v>
      </c>
      <c r="H16" s="8" t="s">
        <v>654</v>
      </c>
    </row>
    <row r="17" customFormat="false" ht="15" hidden="false" customHeight="true" outlineLevel="0" collapsed="false">
      <c r="A17" s="102" t="s">
        <v>655</v>
      </c>
      <c r="B17" s="103" t="n">
        <v>46253</v>
      </c>
      <c r="C17" s="8" t="s">
        <v>1150</v>
      </c>
      <c r="D17" s="8" t="s">
        <v>1115</v>
      </c>
      <c r="E17" s="8"/>
      <c r="F17" s="18" t="n">
        <v>30.79</v>
      </c>
      <c r="G17" s="8" t="s">
        <v>285</v>
      </c>
      <c r="H17" s="8" t="s">
        <v>654</v>
      </c>
    </row>
    <row r="18" customFormat="false" ht="15" hidden="false" customHeight="true" outlineLevel="0" collapsed="false">
      <c r="A18" s="102" t="s">
        <v>655</v>
      </c>
      <c r="B18" s="103" t="n">
        <v>46253</v>
      </c>
      <c r="C18" s="8" t="s">
        <v>1151</v>
      </c>
      <c r="D18" s="8" t="s">
        <v>1107</v>
      </c>
      <c r="E18" s="8" t="n">
        <v>1</v>
      </c>
      <c r="F18" s="18" t="n">
        <v>10.86</v>
      </c>
      <c r="G18" s="8" t="s">
        <v>285</v>
      </c>
      <c r="H18" s="8" t="s">
        <v>654</v>
      </c>
    </row>
    <row r="19" customFormat="false" ht="15" hidden="false" customHeight="true" outlineLevel="0" collapsed="false">
      <c r="A19" s="102" t="s">
        <v>655</v>
      </c>
      <c r="B19" s="103" t="n">
        <v>46253</v>
      </c>
      <c r="C19" s="8" t="s">
        <v>1152</v>
      </c>
      <c r="D19" s="8" t="s">
        <v>1107</v>
      </c>
      <c r="E19" s="8" t="n">
        <v>1</v>
      </c>
      <c r="F19" s="18" t="n">
        <v>17.88</v>
      </c>
      <c r="G19" s="8" t="s">
        <v>285</v>
      </c>
      <c r="H19" s="8" t="s">
        <v>654</v>
      </c>
    </row>
    <row r="20" customFormat="false" ht="15" hidden="false" customHeight="true" outlineLevel="0" collapsed="false">
      <c r="A20" s="102" t="s">
        <v>655</v>
      </c>
      <c r="B20" s="103" t="n">
        <v>46253</v>
      </c>
      <c r="C20" s="8" t="s">
        <v>1153</v>
      </c>
      <c r="D20" s="8" t="s">
        <v>1107</v>
      </c>
      <c r="E20" s="8" t="n">
        <v>1</v>
      </c>
      <c r="F20" s="18" t="n">
        <v>14.81</v>
      </c>
      <c r="G20" s="8" t="s">
        <v>285</v>
      </c>
      <c r="H20" s="8" t="s">
        <v>654</v>
      </c>
    </row>
    <row r="21" customFormat="false" ht="15" hidden="false" customHeight="true" outlineLevel="0" collapsed="false">
      <c r="A21" s="102" t="s">
        <v>660</v>
      </c>
      <c r="B21" s="103" t="n">
        <v>46254</v>
      </c>
      <c r="C21" s="8" t="s">
        <v>1154</v>
      </c>
      <c r="D21" s="8" t="s">
        <v>1107</v>
      </c>
      <c r="E21" s="8" t="n">
        <v>1</v>
      </c>
      <c r="F21" s="18" t="n">
        <v>22.66</v>
      </c>
      <c r="G21" s="8" t="s">
        <v>285</v>
      </c>
      <c r="H21" s="8" t="s">
        <v>654</v>
      </c>
    </row>
    <row r="22" customFormat="false" ht="15" hidden="false" customHeight="true" outlineLevel="0" collapsed="false">
      <c r="A22" s="102" t="s">
        <v>657</v>
      </c>
      <c r="B22" s="103" t="n">
        <v>46254</v>
      </c>
      <c r="C22" s="8" t="s">
        <v>1145</v>
      </c>
      <c r="D22" s="8" t="s">
        <v>1092</v>
      </c>
      <c r="E22" s="8" t="n">
        <v>1</v>
      </c>
      <c r="F22" s="18" t="n">
        <v>82.19</v>
      </c>
      <c r="G22" s="8" t="s">
        <v>285</v>
      </c>
      <c r="H22" s="8" t="s">
        <v>654</v>
      </c>
    </row>
    <row r="23" customFormat="false" ht="15" hidden="false" customHeight="true" outlineLevel="0" collapsed="false">
      <c r="A23" s="102" t="s">
        <v>657</v>
      </c>
      <c r="B23" s="103" t="n">
        <v>46254</v>
      </c>
      <c r="C23" s="8" t="s">
        <v>1155</v>
      </c>
      <c r="D23" s="8" t="s">
        <v>1100</v>
      </c>
      <c r="E23" s="8" t="n">
        <v>10</v>
      </c>
      <c r="F23" s="18" t="n">
        <v>85.08</v>
      </c>
      <c r="G23" s="8" t="s">
        <v>285</v>
      </c>
      <c r="H23" s="8" t="s">
        <v>654</v>
      </c>
    </row>
    <row r="24" customFormat="false" ht="15" hidden="false" customHeight="true" outlineLevel="0" collapsed="false">
      <c r="A24" s="102" t="s">
        <v>657</v>
      </c>
      <c r="B24" s="103" t="n">
        <v>46254</v>
      </c>
      <c r="C24" s="8" t="s">
        <v>1156</v>
      </c>
      <c r="D24" s="8" t="s">
        <v>1096</v>
      </c>
      <c r="E24" s="8" t="n">
        <v>72</v>
      </c>
      <c r="F24" s="18" t="n">
        <v>182.74</v>
      </c>
      <c r="G24" s="8" t="s">
        <v>285</v>
      </c>
      <c r="H24" s="8" t="s">
        <v>654</v>
      </c>
    </row>
    <row r="25" customFormat="false" ht="15" hidden="false" customHeight="true" outlineLevel="0" collapsed="false">
      <c r="A25" s="102" t="s">
        <v>657</v>
      </c>
      <c r="B25" s="103" t="n">
        <v>46254</v>
      </c>
      <c r="C25" s="8" t="s">
        <v>1157</v>
      </c>
      <c r="D25" s="8" t="s">
        <v>1123</v>
      </c>
      <c r="E25" s="8" t="n">
        <v>1</v>
      </c>
      <c r="F25" s="18" t="n">
        <v>30.3</v>
      </c>
      <c r="G25" s="8" t="s">
        <v>285</v>
      </c>
      <c r="H25" s="8" t="s">
        <v>654</v>
      </c>
    </row>
    <row r="26" customFormat="false" ht="15" hidden="false" customHeight="true" outlineLevel="0" collapsed="false">
      <c r="A26" s="102" t="s">
        <v>657</v>
      </c>
      <c r="B26" s="103" t="n">
        <v>46254</v>
      </c>
      <c r="C26" s="8" t="s">
        <v>1158</v>
      </c>
      <c r="D26" s="8" t="s">
        <v>1092</v>
      </c>
      <c r="E26" s="8" t="n">
        <v>1</v>
      </c>
      <c r="F26" s="18" t="n">
        <v>82.19</v>
      </c>
      <c r="G26" s="8" t="s">
        <v>285</v>
      </c>
      <c r="H26" s="8" t="s">
        <v>654</v>
      </c>
    </row>
    <row r="27" customFormat="false" ht="15" hidden="false" customHeight="true" outlineLevel="0" collapsed="false">
      <c r="A27" s="102" t="s">
        <v>713</v>
      </c>
      <c r="B27" s="103" t="n">
        <v>46268</v>
      </c>
      <c r="C27" s="8" t="s">
        <v>1145</v>
      </c>
      <c r="D27" s="8" t="s">
        <v>1092</v>
      </c>
      <c r="E27" s="8" t="n">
        <v>2</v>
      </c>
      <c r="F27" s="18" t="n">
        <v>164.38</v>
      </c>
      <c r="G27" s="8" t="s">
        <v>285</v>
      </c>
      <c r="H27" s="8" t="s">
        <v>654</v>
      </c>
    </row>
    <row r="28" customFormat="false" ht="15" hidden="false" customHeight="true" outlineLevel="0" collapsed="false">
      <c r="A28" s="102" t="s">
        <v>713</v>
      </c>
      <c r="B28" s="103" t="n">
        <v>46268</v>
      </c>
      <c r="C28" s="8" t="s">
        <v>1155</v>
      </c>
      <c r="D28" s="8" t="s">
        <v>1100</v>
      </c>
      <c r="E28" s="8" t="n">
        <v>10</v>
      </c>
      <c r="F28" s="18" t="n">
        <v>85.08</v>
      </c>
      <c r="G28" s="8" t="s">
        <v>285</v>
      </c>
      <c r="H28" s="8" t="s">
        <v>654</v>
      </c>
    </row>
    <row r="29" customFormat="false" ht="15" hidden="false" customHeight="true" outlineLevel="0" collapsed="false">
      <c r="A29" s="102" t="s">
        <v>662</v>
      </c>
      <c r="B29" s="103" t="n">
        <v>46273</v>
      </c>
      <c r="C29" s="8" t="s">
        <v>1159</v>
      </c>
      <c r="D29" s="8" t="s">
        <v>1115</v>
      </c>
      <c r="E29" s="8" t="n">
        <v>2</v>
      </c>
      <c r="F29" s="18" t="n">
        <v>53.26</v>
      </c>
      <c r="G29" s="8" t="s">
        <v>285</v>
      </c>
      <c r="H29" s="8" t="s">
        <v>654</v>
      </c>
    </row>
    <row r="30" customFormat="false" ht="15" hidden="false" customHeight="true" outlineLevel="0" collapsed="false">
      <c r="A30" s="102" t="s">
        <v>662</v>
      </c>
      <c r="B30" s="103" t="n">
        <v>46273</v>
      </c>
      <c r="C30" s="8" t="s">
        <v>1160</v>
      </c>
      <c r="D30" s="8" t="s">
        <v>1107</v>
      </c>
      <c r="E30" s="8" t="n">
        <v>1</v>
      </c>
      <c r="F30" s="18" t="n">
        <v>5.36</v>
      </c>
      <c r="G30" s="8" t="s">
        <v>285</v>
      </c>
      <c r="H30" s="8" t="s">
        <v>654</v>
      </c>
    </row>
    <row r="31" customFormat="false" ht="15" hidden="false" customHeight="true" outlineLevel="0" collapsed="false">
      <c r="A31" s="102" t="s">
        <v>665</v>
      </c>
      <c r="B31" s="103" t="n">
        <v>46274</v>
      </c>
      <c r="C31" s="8" t="s">
        <v>1161</v>
      </c>
      <c r="D31" s="8" t="s">
        <v>1119</v>
      </c>
      <c r="E31" s="8" t="n">
        <v>1</v>
      </c>
      <c r="F31" s="18" t="n">
        <v>227.98</v>
      </c>
      <c r="G31" s="8" t="s">
        <v>303</v>
      </c>
      <c r="H31" s="8" t="s">
        <v>668</v>
      </c>
    </row>
    <row r="32" customFormat="false" ht="15" hidden="false" customHeight="true" outlineLevel="0" collapsed="false">
      <c r="A32" s="102" t="s">
        <v>665</v>
      </c>
      <c r="B32" s="103" t="n">
        <v>46274</v>
      </c>
      <c r="C32" s="8" t="s">
        <v>1162</v>
      </c>
      <c r="D32" s="8" t="s">
        <v>1119</v>
      </c>
      <c r="E32" s="8" t="n">
        <v>1</v>
      </c>
      <c r="F32" s="18" t="n">
        <v>34.2</v>
      </c>
      <c r="G32" s="8" t="s">
        <v>303</v>
      </c>
      <c r="H32" s="8" t="s">
        <v>668</v>
      </c>
    </row>
    <row r="33" customFormat="false" ht="15" hidden="false" customHeight="true" outlineLevel="0" collapsed="false">
      <c r="A33" s="102" t="s">
        <v>665</v>
      </c>
      <c r="B33" s="103" t="n">
        <v>46274</v>
      </c>
      <c r="C33" s="8" t="s">
        <v>1163</v>
      </c>
      <c r="D33" s="8" t="s">
        <v>1119</v>
      </c>
      <c r="E33" s="8" t="n">
        <v>12</v>
      </c>
      <c r="F33" s="18" t="n">
        <v>32.4</v>
      </c>
      <c r="G33" s="8" t="s">
        <v>303</v>
      </c>
      <c r="H33" s="8" t="s">
        <v>668</v>
      </c>
    </row>
    <row r="34" customFormat="false" ht="15" hidden="false" customHeight="true" outlineLevel="0" collapsed="false">
      <c r="A34" s="102" t="s">
        <v>665</v>
      </c>
      <c r="B34" s="103" t="n">
        <v>46274</v>
      </c>
      <c r="C34" s="8" t="s">
        <v>1164</v>
      </c>
      <c r="D34" s="8" t="s">
        <v>1119</v>
      </c>
      <c r="E34" s="8" t="n">
        <v>1</v>
      </c>
      <c r="F34" s="18" t="n">
        <v>42</v>
      </c>
      <c r="G34" s="8" t="s">
        <v>303</v>
      </c>
      <c r="H34" s="8" t="s">
        <v>668</v>
      </c>
    </row>
    <row r="35" customFormat="false" ht="15" hidden="false" customHeight="true" outlineLevel="0" collapsed="false">
      <c r="A35" s="102" t="s">
        <v>665</v>
      </c>
      <c r="B35" s="103" t="n">
        <v>46274</v>
      </c>
      <c r="C35" s="8" t="s">
        <v>1165</v>
      </c>
      <c r="D35" s="8" t="s">
        <v>1119</v>
      </c>
      <c r="E35" s="8" t="n">
        <v>1</v>
      </c>
      <c r="F35" s="18" t="n">
        <v>42</v>
      </c>
      <c r="G35" s="8" t="s">
        <v>303</v>
      </c>
      <c r="H35" s="8" t="s">
        <v>668</v>
      </c>
    </row>
    <row r="36" customFormat="false" ht="15" hidden="false" customHeight="true" outlineLevel="0" collapsed="false">
      <c r="A36" s="102" t="s">
        <v>669</v>
      </c>
      <c r="B36" s="103" t="n">
        <v>46275</v>
      </c>
      <c r="C36" s="8" t="s">
        <v>1145</v>
      </c>
      <c r="D36" s="8" t="s">
        <v>1092</v>
      </c>
      <c r="E36" s="8" t="n">
        <v>1</v>
      </c>
      <c r="F36" s="18" t="n">
        <v>82.19</v>
      </c>
      <c r="G36" s="8" t="s">
        <v>285</v>
      </c>
      <c r="H36" s="8" t="s">
        <v>654</v>
      </c>
    </row>
    <row r="37" customFormat="false" ht="15" hidden="false" customHeight="true" outlineLevel="0" collapsed="false">
      <c r="A37" s="102" t="s">
        <v>669</v>
      </c>
      <c r="B37" s="103" t="n">
        <v>46275</v>
      </c>
      <c r="C37" s="8" t="s">
        <v>1155</v>
      </c>
      <c r="D37" s="8" t="s">
        <v>1100</v>
      </c>
      <c r="E37" s="8" t="n">
        <v>5</v>
      </c>
      <c r="F37" s="18" t="n">
        <v>42.54</v>
      </c>
      <c r="G37" s="8" t="s">
        <v>285</v>
      </c>
      <c r="H37" s="8" t="s">
        <v>654</v>
      </c>
    </row>
    <row r="38" customFormat="false" ht="15" hidden="false" customHeight="true" outlineLevel="0" collapsed="false">
      <c r="A38" s="102" t="s">
        <v>674</v>
      </c>
      <c r="B38" s="103" t="n">
        <v>46276</v>
      </c>
      <c r="C38" s="8" t="s">
        <v>1166</v>
      </c>
      <c r="D38" s="8" t="s">
        <v>184</v>
      </c>
      <c r="E38" s="8" t="n">
        <v>3</v>
      </c>
      <c r="F38" s="18" t="n">
        <v>23.87</v>
      </c>
      <c r="G38" s="8" t="s">
        <v>124</v>
      </c>
      <c r="H38" s="8" t="s">
        <v>1167</v>
      </c>
    </row>
    <row r="39" customFormat="false" ht="15" hidden="false" customHeight="true" outlineLevel="0" collapsed="false">
      <c r="A39" s="102" t="s">
        <v>674</v>
      </c>
      <c r="B39" s="103" t="n">
        <v>46276</v>
      </c>
      <c r="C39" s="8" t="s">
        <v>1168</v>
      </c>
      <c r="D39" s="8" t="s">
        <v>184</v>
      </c>
      <c r="E39" s="8" t="n">
        <v>3</v>
      </c>
      <c r="F39" s="18" t="n">
        <v>59.87</v>
      </c>
      <c r="G39" s="8" t="s">
        <v>124</v>
      </c>
      <c r="H39" s="8" t="s">
        <v>1167</v>
      </c>
    </row>
    <row r="40" customFormat="false" ht="15" hidden="false" customHeight="true" outlineLevel="0" collapsed="false">
      <c r="A40" s="102" t="s">
        <v>674</v>
      </c>
      <c r="B40" s="103" t="n">
        <v>46276</v>
      </c>
      <c r="C40" s="8" t="s">
        <v>1169</v>
      </c>
      <c r="D40" s="8" t="s">
        <v>184</v>
      </c>
      <c r="E40" s="8" t="n">
        <v>4</v>
      </c>
      <c r="F40" s="18" t="n">
        <v>10.27</v>
      </c>
      <c r="G40" s="8" t="s">
        <v>124</v>
      </c>
      <c r="H40" s="8" t="s">
        <v>1167</v>
      </c>
    </row>
    <row r="41" customFormat="false" ht="15" hidden="false" customHeight="true" outlineLevel="0" collapsed="false">
      <c r="A41" s="102" t="s">
        <v>674</v>
      </c>
      <c r="B41" s="103" t="n">
        <v>46276</v>
      </c>
      <c r="C41" s="8" t="s">
        <v>1170</v>
      </c>
      <c r="D41" s="8" t="s">
        <v>184</v>
      </c>
      <c r="E41" s="8" t="n">
        <v>6</v>
      </c>
      <c r="F41" s="18" t="n">
        <v>44.78</v>
      </c>
      <c r="G41" s="8" t="s">
        <v>124</v>
      </c>
      <c r="H41" s="8" t="s">
        <v>1167</v>
      </c>
    </row>
    <row r="42" customFormat="false" ht="15" hidden="false" customHeight="true" outlineLevel="0" collapsed="false">
      <c r="A42" s="102" t="s">
        <v>674</v>
      </c>
      <c r="B42" s="103" t="n">
        <v>46276</v>
      </c>
      <c r="C42" s="8" t="s">
        <v>1171</v>
      </c>
      <c r="D42" s="8" t="s">
        <v>184</v>
      </c>
      <c r="E42" s="8" t="n">
        <v>1</v>
      </c>
      <c r="F42" s="18" t="n">
        <v>6.29</v>
      </c>
      <c r="G42" s="8" t="s">
        <v>124</v>
      </c>
      <c r="H42" s="8" t="s">
        <v>1167</v>
      </c>
    </row>
    <row r="43" customFormat="false" ht="15" hidden="false" customHeight="true" outlineLevel="0" collapsed="false">
      <c r="A43" s="102" t="s">
        <v>674</v>
      </c>
      <c r="B43" s="103" t="n">
        <v>46276</v>
      </c>
      <c r="C43" s="8" t="s">
        <v>1172</v>
      </c>
      <c r="D43" s="8" t="s">
        <v>184</v>
      </c>
      <c r="E43" s="8" t="n">
        <v>18</v>
      </c>
      <c r="F43" s="18" t="n">
        <v>138.24</v>
      </c>
      <c r="G43" s="8" t="s">
        <v>124</v>
      </c>
      <c r="H43" s="8" t="s">
        <v>1167</v>
      </c>
    </row>
    <row r="44" customFormat="false" ht="15" hidden="false" customHeight="true" outlineLevel="0" collapsed="false">
      <c r="A44" s="102" t="s">
        <v>674</v>
      </c>
      <c r="B44" s="103" t="n">
        <v>46276</v>
      </c>
      <c r="C44" s="8" t="s">
        <v>1173</v>
      </c>
      <c r="D44" s="8" t="s">
        <v>1107</v>
      </c>
      <c r="E44" s="8" t="n">
        <v>1</v>
      </c>
      <c r="F44" s="18" t="n">
        <v>7.85</v>
      </c>
      <c r="G44" s="8" t="s">
        <v>124</v>
      </c>
      <c r="H44" s="8" t="s">
        <v>1167</v>
      </c>
    </row>
    <row r="45" customFormat="false" ht="27.75" hidden="false" customHeight="true" outlineLevel="0" collapsed="false">
      <c r="A45" s="102" t="s">
        <v>671</v>
      </c>
      <c r="B45" s="103" t="n">
        <v>46276</v>
      </c>
      <c r="C45" s="8" t="s">
        <v>1174</v>
      </c>
      <c r="D45" s="8" t="s">
        <v>1107</v>
      </c>
      <c r="E45" s="8"/>
      <c r="F45" s="18" t="n">
        <v>18.29</v>
      </c>
      <c r="G45" s="8" t="s">
        <v>333</v>
      </c>
      <c r="H45" s="8" t="s">
        <v>1175</v>
      </c>
    </row>
    <row r="46" customFormat="false" ht="15" hidden="false" customHeight="true" outlineLevel="0" collapsed="false">
      <c r="A46" s="102" t="s">
        <v>715</v>
      </c>
      <c r="B46" s="103" t="n">
        <v>46279</v>
      </c>
      <c r="C46" s="8" t="s">
        <v>1176</v>
      </c>
      <c r="D46" s="8" t="s">
        <v>1119</v>
      </c>
      <c r="E46" s="8" t="n">
        <v>1</v>
      </c>
      <c r="F46" s="18" t="n">
        <v>163.3</v>
      </c>
      <c r="G46" s="8" t="s">
        <v>303</v>
      </c>
      <c r="H46" s="8" t="s">
        <v>668</v>
      </c>
    </row>
    <row r="47" customFormat="false" ht="15" hidden="false" customHeight="true" outlineLevel="0" collapsed="false">
      <c r="A47" s="102" t="s">
        <v>715</v>
      </c>
      <c r="B47" s="103" t="n">
        <v>46279</v>
      </c>
      <c r="C47" s="8" t="s">
        <v>1162</v>
      </c>
      <c r="D47" s="8" t="s">
        <v>1119</v>
      </c>
      <c r="E47" s="8" t="n">
        <v>1</v>
      </c>
      <c r="F47" s="18" t="n">
        <v>24.49</v>
      </c>
      <c r="G47" s="8" t="s">
        <v>303</v>
      </c>
      <c r="H47" s="8" t="s">
        <v>668</v>
      </c>
    </row>
    <row r="48" customFormat="false" ht="15" hidden="false" customHeight="true" outlineLevel="0" collapsed="false">
      <c r="A48" s="102" t="s">
        <v>715</v>
      </c>
      <c r="B48" s="103" t="n">
        <v>46279</v>
      </c>
      <c r="C48" s="8" t="s">
        <v>1177</v>
      </c>
      <c r="D48" s="8" t="s">
        <v>1119</v>
      </c>
      <c r="E48" s="8" t="n">
        <v>1</v>
      </c>
      <c r="F48" s="18" t="n">
        <v>6</v>
      </c>
      <c r="G48" s="8" t="s">
        <v>303</v>
      </c>
      <c r="H48" s="8" t="s">
        <v>668</v>
      </c>
    </row>
    <row r="49" customFormat="false" ht="15" hidden="false" customHeight="true" outlineLevel="0" collapsed="false">
      <c r="A49" s="102" t="s">
        <v>715</v>
      </c>
      <c r="B49" s="103" t="n">
        <v>46279</v>
      </c>
      <c r="C49" s="8" t="s">
        <v>1178</v>
      </c>
      <c r="D49" s="8" t="s">
        <v>1119</v>
      </c>
      <c r="E49" s="8" t="n">
        <v>1</v>
      </c>
      <c r="F49" s="18" t="n">
        <v>42</v>
      </c>
      <c r="G49" s="8" t="s">
        <v>303</v>
      </c>
      <c r="H49" s="8" t="s">
        <v>668</v>
      </c>
    </row>
    <row r="50" customFormat="false" ht="15" hidden="false" customHeight="true" outlineLevel="0" collapsed="false">
      <c r="A50" s="102" t="s">
        <v>715</v>
      </c>
      <c r="B50" s="103" t="n">
        <v>46279</v>
      </c>
      <c r="C50" s="8" t="s">
        <v>1179</v>
      </c>
      <c r="D50" s="8" t="s">
        <v>1119</v>
      </c>
      <c r="E50" s="8" t="n">
        <v>1</v>
      </c>
      <c r="F50" s="18" t="n">
        <v>42</v>
      </c>
      <c r="G50" s="8" t="s">
        <v>303</v>
      </c>
      <c r="H50" s="8" t="s">
        <v>668</v>
      </c>
    </row>
    <row r="51" customFormat="false" ht="15" hidden="false" customHeight="true" outlineLevel="0" collapsed="false">
      <c r="A51" s="102" t="s">
        <v>717</v>
      </c>
      <c r="B51" s="103" t="n">
        <v>46286</v>
      </c>
      <c r="C51" s="8" t="s">
        <v>1156</v>
      </c>
      <c r="D51" s="8" t="s">
        <v>1096</v>
      </c>
      <c r="E51" s="8" t="n">
        <v>6</v>
      </c>
      <c r="F51" s="18" t="n">
        <v>15.23</v>
      </c>
      <c r="G51" s="8" t="s">
        <v>115</v>
      </c>
      <c r="H51" s="8" t="s">
        <v>719</v>
      </c>
    </row>
    <row r="52" customFormat="false" ht="15" hidden="false" customHeight="true" outlineLevel="0" collapsed="false">
      <c r="A52" s="102" t="s">
        <v>717</v>
      </c>
      <c r="B52" s="103" t="n">
        <v>46286</v>
      </c>
      <c r="C52" s="8" t="s">
        <v>1148</v>
      </c>
      <c r="D52" s="8" t="s">
        <v>1100</v>
      </c>
      <c r="E52" s="8" t="n">
        <v>4</v>
      </c>
      <c r="F52" s="18" t="n">
        <v>34.03</v>
      </c>
      <c r="G52" s="8" t="s">
        <v>115</v>
      </c>
      <c r="H52" s="8" t="s">
        <v>719</v>
      </c>
    </row>
    <row r="53" customFormat="false" ht="15" hidden="false" customHeight="true" outlineLevel="0" collapsed="false">
      <c r="A53" s="102" t="s">
        <v>717</v>
      </c>
      <c r="B53" s="103" t="n">
        <v>46286</v>
      </c>
      <c r="C53" s="8" t="s">
        <v>1180</v>
      </c>
      <c r="D53" s="8" t="s">
        <v>1107</v>
      </c>
      <c r="E53" s="8" t="n">
        <v>1</v>
      </c>
      <c r="F53" s="18" t="n">
        <v>5.68</v>
      </c>
      <c r="G53" s="8" t="s">
        <v>115</v>
      </c>
      <c r="H53" s="8" t="s">
        <v>719</v>
      </c>
    </row>
    <row r="54" customFormat="false" ht="15" hidden="false" customHeight="true" outlineLevel="0" collapsed="false">
      <c r="A54" s="102" t="s">
        <v>717</v>
      </c>
      <c r="B54" s="103" t="n">
        <v>46286</v>
      </c>
      <c r="C54" s="8" t="s">
        <v>1181</v>
      </c>
      <c r="D54" s="8" t="s">
        <v>1107</v>
      </c>
      <c r="E54" s="8" t="n">
        <v>1</v>
      </c>
      <c r="F54" s="18" t="n">
        <v>5.36</v>
      </c>
      <c r="G54" s="8" t="s">
        <v>115</v>
      </c>
      <c r="H54" s="8" t="s">
        <v>719</v>
      </c>
    </row>
    <row r="55" customFormat="false" ht="15" hidden="false" customHeight="true" outlineLevel="0" collapsed="false">
      <c r="A55" s="102" t="s">
        <v>720</v>
      </c>
      <c r="B55" s="103" t="n">
        <v>46286</v>
      </c>
      <c r="C55" s="8" t="s">
        <v>1156</v>
      </c>
      <c r="D55" s="8" t="s">
        <v>1096</v>
      </c>
      <c r="E55" s="8" t="n">
        <v>20</v>
      </c>
      <c r="F55" s="18" t="n">
        <v>50.76</v>
      </c>
      <c r="G55" s="8" t="s">
        <v>115</v>
      </c>
      <c r="H55" s="8" t="s">
        <v>719</v>
      </c>
    </row>
    <row r="56" customFormat="false" ht="15" hidden="false" customHeight="true" outlineLevel="0" collapsed="false">
      <c r="A56" s="78" t="s">
        <v>386</v>
      </c>
      <c r="B56" s="78"/>
      <c r="C56" s="78" t="s">
        <v>1182</v>
      </c>
      <c r="D56" s="78"/>
      <c r="E56" s="78"/>
      <c r="F56" s="104" t="n">
        <f aca="false">SUM(F5:F55)</f>
        <v>3216.92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1D5DB"/>
    <pageSetUpPr fitToPage="false"/>
  </sheetPr>
  <dimension ref="A1:F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7" topLeftCell="A8"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3"/>
    <col collapsed="false" customWidth="true" hidden="false" outlineLevel="0" max="2" min="2" style="1" width="26"/>
    <col collapsed="false" customWidth="true" hidden="false" outlineLevel="0" max="3" min="3" style="1" width="40"/>
    <col collapsed="false" customWidth="true" hidden="false" outlineLevel="0" max="4" min="4" style="1" width="20"/>
    <col collapsed="false" customWidth="true" hidden="false" outlineLevel="0" max="5" min="5" style="1" width="13"/>
    <col collapsed="false" customWidth="true" hidden="false" outlineLevel="0" max="6" min="6" style="1" width="18"/>
  </cols>
  <sheetData>
    <row r="1" customFormat="false" ht="19.5" hidden="false" customHeight="true" outlineLevel="0" collapsed="false">
      <c r="A1" s="2" t="s">
        <v>1183</v>
      </c>
    </row>
    <row r="2" customFormat="false" ht="15" hidden="false" customHeight="true" outlineLevel="0" collapsed="false">
      <c r="A2" s="5" t="s">
        <v>1184</v>
      </c>
    </row>
    <row r="4" customFormat="false" ht="15.75" hidden="false" customHeight="true" outlineLevel="0" collapsed="false">
      <c r="A4" s="3" t="s">
        <v>1185</v>
      </c>
      <c r="B4" s="70" t="n">
        <v>1360</v>
      </c>
      <c r="C4" s="3" t="s">
        <v>260</v>
      </c>
      <c r="D4" s="71" t="n">
        <f aca="false">B4-SUM(E8:E40)</f>
        <v>-100</v>
      </c>
    </row>
    <row r="7" customFormat="false" ht="15" hidden="false" customHeight="true" outlineLevel="0" collapsed="false">
      <c r="A7" s="6" t="s">
        <v>1041</v>
      </c>
      <c r="B7" s="6" t="s">
        <v>1186</v>
      </c>
      <c r="C7" s="6" t="s">
        <v>1187</v>
      </c>
      <c r="D7" s="6" t="s">
        <v>1188</v>
      </c>
      <c r="E7" s="6" t="s">
        <v>412</v>
      </c>
      <c r="F7" s="6" t="s">
        <v>1189</v>
      </c>
    </row>
    <row r="8" customFormat="false" ht="27.75" hidden="false" customHeight="true" outlineLevel="0" collapsed="false">
      <c r="A8" s="92" t="n">
        <v>46244</v>
      </c>
      <c r="B8" s="8" t="s">
        <v>571</v>
      </c>
      <c r="C8" s="8" t="s">
        <v>1190</v>
      </c>
      <c r="D8" s="8" t="s">
        <v>1191</v>
      </c>
      <c r="E8" s="18" t="n">
        <v>344.16</v>
      </c>
      <c r="F8" s="10" t="n">
        <f aca="false">IF(E8="","",$B$4-SUM($E$8:E8))</f>
        <v>1015.84</v>
      </c>
    </row>
    <row r="9" customFormat="false" ht="15" hidden="false" customHeight="true" outlineLevel="0" collapsed="false">
      <c r="A9" s="94" t="n">
        <v>46245</v>
      </c>
      <c r="B9" s="96" t="s">
        <v>571</v>
      </c>
      <c r="C9" s="96" t="s">
        <v>1192</v>
      </c>
      <c r="D9" s="96" t="s">
        <v>1193</v>
      </c>
      <c r="E9" s="97" t="n">
        <v>-344.16</v>
      </c>
      <c r="F9" s="10" t="n">
        <f aca="false">IF(E9="","",$B$4-SUM($E$8:E9))</f>
        <v>1360</v>
      </c>
    </row>
    <row r="10" customFormat="false" ht="15" hidden="false" customHeight="true" outlineLevel="0" collapsed="false">
      <c r="A10" s="94" t="n">
        <v>46245</v>
      </c>
      <c r="B10" s="96" t="s">
        <v>579</v>
      </c>
      <c r="C10" s="96" t="s">
        <v>1194</v>
      </c>
      <c r="D10" s="96" t="s">
        <v>1191</v>
      </c>
      <c r="E10" s="97" t="n">
        <v>390</v>
      </c>
      <c r="F10" s="10" t="n">
        <f aca="false">IF(E10="","",$B$4-SUM($E$8:E10))</f>
        <v>970</v>
      </c>
    </row>
    <row r="11" customFormat="false" ht="15" hidden="false" customHeight="true" outlineLevel="0" collapsed="false">
      <c r="A11" s="94" t="n">
        <v>46246</v>
      </c>
      <c r="B11" s="96" t="s">
        <v>579</v>
      </c>
      <c r="C11" s="96" t="s">
        <v>1195</v>
      </c>
      <c r="D11" s="96" t="s">
        <v>1191</v>
      </c>
      <c r="E11" s="97" t="n">
        <v>390</v>
      </c>
      <c r="F11" s="10" t="n">
        <f aca="false">IF(E11="","",$B$4-SUM($E$8:E11))</f>
        <v>580</v>
      </c>
    </row>
    <row r="12" customFormat="false" ht="15" hidden="false" customHeight="true" outlineLevel="0" collapsed="false">
      <c r="A12" s="94" t="n">
        <v>46276</v>
      </c>
      <c r="B12" s="96" t="s">
        <v>832</v>
      </c>
      <c r="C12" s="96" t="s">
        <v>1196</v>
      </c>
      <c r="D12" s="95" t="s">
        <v>1197</v>
      </c>
      <c r="E12" s="97" t="n">
        <v>680</v>
      </c>
      <c r="F12" s="10" t="n">
        <f aca="false">IF(E12="","",$B$4-SUM($E$8:E12))</f>
        <v>-100</v>
      </c>
    </row>
    <row r="13" customFormat="false" ht="15" hidden="false" customHeight="true" outlineLevel="0" collapsed="false">
      <c r="A13" s="94" t="n">
        <v>46269</v>
      </c>
      <c r="B13" s="96" t="s">
        <v>14</v>
      </c>
      <c r="C13" s="96" t="s">
        <v>1198</v>
      </c>
      <c r="D13" s="95" t="s">
        <v>29</v>
      </c>
      <c r="E13" s="97"/>
      <c r="F13" s="10" t="str">
        <f aca="false">IF(E13="","",$B$4-SUM($E$8:E13))</f>
        <v/>
      </c>
    </row>
    <row r="14" customFormat="false" ht="15" hidden="false" customHeight="true" outlineLevel="0" collapsed="false">
      <c r="A14" s="105"/>
      <c r="B14" s="106"/>
      <c r="C14" s="106"/>
      <c r="D14" s="106"/>
      <c r="E14" s="107"/>
      <c r="F14" s="10" t="str">
        <f aca="false">IF(E14="","",$B$4-SUM($E$8:E14))</f>
        <v/>
      </c>
    </row>
    <row r="15" customFormat="false" ht="15" hidden="false" customHeight="true" outlineLevel="0" collapsed="false">
      <c r="A15" s="105"/>
      <c r="B15" s="106"/>
      <c r="C15" s="106"/>
      <c r="D15" s="106"/>
      <c r="E15" s="107"/>
      <c r="F15" s="10" t="str">
        <f aca="false">IF(E15="","",$B$4-SUM($E$8:E15))</f>
        <v/>
      </c>
    </row>
    <row r="16" customFormat="false" ht="15" hidden="false" customHeight="true" outlineLevel="0" collapsed="false">
      <c r="A16" s="105"/>
      <c r="B16" s="106"/>
      <c r="C16" s="106"/>
      <c r="D16" s="106"/>
      <c r="E16" s="107"/>
      <c r="F16" s="10" t="str">
        <f aca="false">IF(E16="","",$B$4-SUM($E$8:E16))</f>
        <v/>
      </c>
    </row>
    <row r="17" customFormat="false" ht="15" hidden="false" customHeight="true" outlineLevel="0" collapsed="false">
      <c r="A17" s="105"/>
      <c r="B17" s="106"/>
      <c r="C17" s="106"/>
      <c r="D17" s="106"/>
      <c r="E17" s="107"/>
      <c r="F17" s="10" t="str">
        <f aca="false">IF(E17="","",$B$4-SUM($E$8:E17))</f>
        <v/>
      </c>
    </row>
    <row r="18" customFormat="false" ht="15" hidden="false" customHeight="true" outlineLevel="0" collapsed="false">
      <c r="A18" s="105"/>
      <c r="B18" s="106"/>
      <c r="C18" s="106"/>
      <c r="D18" s="106"/>
      <c r="E18" s="107"/>
      <c r="F18" s="10" t="str">
        <f aca="false">IF(E18="","",$B$4-SUM($E$8:E18))</f>
        <v/>
      </c>
    </row>
    <row r="19" customFormat="false" ht="15" hidden="false" customHeight="true" outlineLevel="0" collapsed="false">
      <c r="A19" s="105"/>
      <c r="B19" s="106"/>
      <c r="C19" s="106"/>
      <c r="D19" s="106"/>
      <c r="E19" s="107"/>
      <c r="F19" s="10" t="str">
        <f aca="false">IF(E19="","",$B$4-SUM($E$8:E19))</f>
        <v/>
      </c>
    </row>
    <row r="20" customFormat="false" ht="15" hidden="false" customHeight="true" outlineLevel="0" collapsed="false">
      <c r="A20" s="105"/>
      <c r="B20" s="106"/>
      <c r="C20" s="106"/>
      <c r="D20" s="106"/>
      <c r="E20" s="107"/>
      <c r="F20" s="10" t="str">
        <f aca="false">IF(E20="","",$B$4-SUM($E$8:E20))</f>
        <v/>
      </c>
    </row>
    <row r="21" customFormat="false" ht="15" hidden="false" customHeight="true" outlineLevel="0" collapsed="false">
      <c r="A21" s="105"/>
      <c r="B21" s="106"/>
      <c r="C21" s="106"/>
      <c r="D21" s="106"/>
      <c r="E21" s="107"/>
      <c r="F21" s="10" t="str">
        <f aca="false">IF(E21="","",$B$4-SUM($E$8:E21))</f>
        <v/>
      </c>
    </row>
    <row r="22" customFormat="false" ht="15" hidden="false" customHeight="true" outlineLevel="0" collapsed="false">
      <c r="A22" s="105"/>
      <c r="B22" s="106"/>
      <c r="C22" s="106"/>
      <c r="D22" s="106"/>
      <c r="E22" s="107"/>
      <c r="F22" s="10" t="str">
        <f aca="false">IF(E22="","",$B$4-SUM($E$8:E22))</f>
        <v/>
      </c>
    </row>
    <row r="23" customFormat="false" ht="15" hidden="false" customHeight="true" outlineLevel="0" collapsed="false">
      <c r="A23" s="105"/>
      <c r="B23" s="106"/>
      <c r="C23" s="106"/>
      <c r="D23" s="106"/>
      <c r="E23" s="107"/>
      <c r="F23" s="10" t="str">
        <f aca="false">IF(E23="","",$B$4-SUM($E$8:E23))</f>
        <v/>
      </c>
    </row>
    <row r="24" customFormat="false" ht="15" hidden="false" customHeight="true" outlineLevel="0" collapsed="false">
      <c r="A24" s="105"/>
      <c r="B24" s="106"/>
      <c r="C24" s="106"/>
      <c r="D24" s="106"/>
      <c r="E24" s="107"/>
      <c r="F24" s="10" t="str">
        <f aca="false">IF(E24="","",$B$4-SUM($E$8:E24))</f>
        <v/>
      </c>
    </row>
    <row r="25" customFormat="false" ht="15" hidden="false" customHeight="true" outlineLevel="0" collapsed="false">
      <c r="A25" s="105"/>
      <c r="B25" s="106"/>
      <c r="C25" s="106"/>
      <c r="D25" s="106"/>
      <c r="E25" s="107"/>
      <c r="F25" s="10" t="str">
        <f aca="false">IF(E25="","",$B$4-SUM($E$8:E25))</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1D5DB"/>
    <pageSetUpPr fitToPage="false"/>
  </sheetPr>
  <dimension ref="A1:F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7" topLeftCell="A8"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3"/>
    <col collapsed="false" customWidth="true" hidden="false" outlineLevel="0" max="2" min="2" style="1" width="26"/>
    <col collapsed="false" customWidth="true" hidden="false" outlineLevel="0" max="3" min="3" style="1" width="46"/>
    <col collapsed="false" customWidth="true" hidden="false" outlineLevel="0" max="4" min="4" style="1" width="18"/>
    <col collapsed="false" customWidth="true" hidden="false" outlineLevel="0" max="5" min="5" style="1" width="13"/>
    <col collapsed="false" customWidth="true" hidden="false" outlineLevel="0" max="6" min="6" style="1" width="18"/>
  </cols>
  <sheetData>
    <row r="1" customFormat="false" ht="19.5" hidden="false" customHeight="true" outlineLevel="0" collapsed="false">
      <c r="A1" s="2" t="s">
        <v>1199</v>
      </c>
    </row>
    <row r="2" customFormat="false" ht="15" hidden="false" customHeight="true" outlineLevel="0" collapsed="false">
      <c r="A2" s="5" t="s">
        <v>1200</v>
      </c>
    </row>
    <row r="4" customFormat="false" ht="15.75" hidden="false" customHeight="true" outlineLevel="0" collapsed="false">
      <c r="A4" s="3" t="s">
        <v>1185</v>
      </c>
      <c r="B4" s="70" t="n">
        <v>1130</v>
      </c>
      <c r="C4" s="3" t="s">
        <v>260</v>
      </c>
      <c r="D4" s="71" t="n">
        <f aca="false">B4-SUM(E8:E40)</f>
        <v>-62.9000000000001</v>
      </c>
    </row>
    <row r="7" customFormat="false" ht="15" hidden="false" customHeight="true" outlineLevel="0" collapsed="false">
      <c r="A7" s="6" t="s">
        <v>1041</v>
      </c>
      <c r="B7" s="6" t="s">
        <v>1201</v>
      </c>
      <c r="C7" s="6" t="s">
        <v>1202</v>
      </c>
      <c r="D7" s="6" t="s">
        <v>1188</v>
      </c>
      <c r="E7" s="6" t="s">
        <v>412</v>
      </c>
      <c r="F7" s="6" t="s">
        <v>1189</v>
      </c>
    </row>
    <row r="8" customFormat="false" ht="41.25" hidden="false" customHeight="true" outlineLevel="0" collapsed="false">
      <c r="A8" s="92" t="n">
        <v>46223</v>
      </c>
      <c r="B8" s="8" t="s">
        <v>541</v>
      </c>
      <c r="C8" s="8" t="s">
        <v>1203</v>
      </c>
      <c r="D8" s="84" t="s">
        <v>1204</v>
      </c>
      <c r="E8" s="18" t="n">
        <v>311.98</v>
      </c>
      <c r="F8" s="10" t="n">
        <f aca="false">IF(E8="","",$B$4-SUM($E$8:E8))</f>
        <v>818.02</v>
      </c>
    </row>
    <row r="9" customFormat="false" ht="15" hidden="false" customHeight="true" outlineLevel="0" collapsed="false">
      <c r="A9" s="92" t="n">
        <v>46225</v>
      </c>
      <c r="B9" s="8" t="s">
        <v>556</v>
      </c>
      <c r="C9" s="8" t="s">
        <v>1205</v>
      </c>
      <c r="D9" s="84" t="s">
        <v>1206</v>
      </c>
      <c r="E9" s="18" t="n">
        <v>162.96</v>
      </c>
      <c r="F9" s="10" t="n">
        <f aca="false">IF(E9="","",$B$4-SUM($E$8:E9))</f>
        <v>655.06</v>
      </c>
    </row>
    <row r="10" customFormat="false" ht="15" hidden="false" customHeight="true" outlineLevel="0" collapsed="false">
      <c r="A10" s="92" t="n">
        <v>46238</v>
      </c>
      <c r="B10" s="8" t="s">
        <v>541</v>
      </c>
      <c r="C10" s="8" t="s">
        <v>1207</v>
      </c>
      <c r="D10" s="84" t="s">
        <v>1208</v>
      </c>
      <c r="E10" s="18" t="n">
        <v>148.53</v>
      </c>
      <c r="F10" s="10" t="n">
        <f aca="false">IF(E10="","",$B$4-SUM($E$8:E10))</f>
        <v>506.53</v>
      </c>
    </row>
    <row r="11" customFormat="false" ht="15" hidden="false" customHeight="true" outlineLevel="0" collapsed="false">
      <c r="A11" s="94" t="n">
        <v>46250</v>
      </c>
      <c r="B11" s="95" t="s">
        <v>593</v>
      </c>
      <c r="C11" s="96" t="s">
        <v>1209</v>
      </c>
      <c r="D11" s="96" t="s">
        <v>1210</v>
      </c>
      <c r="E11" s="97" t="n">
        <v>47.99</v>
      </c>
      <c r="F11" s="10" t="n">
        <f aca="false">IF(E11="","",$B$4-SUM($E$8:E11))</f>
        <v>458.54</v>
      </c>
    </row>
    <row r="12" customFormat="false" ht="15" hidden="false" customHeight="true" outlineLevel="0" collapsed="false">
      <c r="A12" s="94" t="n">
        <v>46251</v>
      </c>
      <c r="B12" s="96" t="s">
        <v>598</v>
      </c>
      <c r="C12" s="96" t="s">
        <v>1211</v>
      </c>
      <c r="D12" s="95" t="s">
        <v>1212</v>
      </c>
      <c r="E12" s="97" t="n">
        <v>481.26</v>
      </c>
      <c r="F12" s="10" t="n">
        <f aca="false">IF(E12="","",$B$4-SUM($E$8:E12))</f>
        <v>-22.72</v>
      </c>
    </row>
    <row r="13" customFormat="false" ht="15" hidden="false" customHeight="true" outlineLevel="0" collapsed="false">
      <c r="A13" s="94"/>
      <c r="B13" s="95"/>
      <c r="C13" s="96"/>
      <c r="D13" s="96"/>
      <c r="E13" s="97"/>
      <c r="F13" s="10" t="str">
        <f aca="false">IF(E13="","",$B$4-SUM($E$8:E13))</f>
        <v/>
      </c>
    </row>
    <row r="14" customFormat="false" ht="15" hidden="false" customHeight="true" outlineLevel="0" collapsed="false">
      <c r="A14" s="94" t="n">
        <v>46244</v>
      </c>
      <c r="B14" s="96" t="s">
        <v>1213</v>
      </c>
      <c r="C14" s="96" t="s">
        <v>1214</v>
      </c>
      <c r="D14" s="95" t="s">
        <v>1212</v>
      </c>
      <c r="E14" s="97" t="n">
        <v>40.18</v>
      </c>
      <c r="F14" s="10" t="n">
        <f aca="false">IF(E14="","",$B$4-SUM($E$8:E14))</f>
        <v>-62.9000000000001</v>
      </c>
    </row>
    <row r="15" customFormat="false" ht="15" hidden="false" customHeight="true" outlineLevel="0" collapsed="false">
      <c r="A15" s="94"/>
      <c r="B15" s="95"/>
      <c r="C15" s="96"/>
      <c r="D15" s="96"/>
      <c r="E15" s="97"/>
      <c r="F15" s="10" t="str">
        <f aca="false">IF(E15="","",$B$4-SUM($E$8:E15))</f>
        <v/>
      </c>
    </row>
    <row r="16" customFormat="false" ht="15" hidden="false" customHeight="true" outlineLevel="0" collapsed="false">
      <c r="A16" s="105"/>
      <c r="B16" s="106"/>
      <c r="C16" s="106"/>
      <c r="D16" s="106"/>
      <c r="E16" s="107"/>
      <c r="F16" s="10" t="str">
        <f aca="false">IF(E16="","",$B$4-SUM($E$8:E16))</f>
        <v/>
      </c>
    </row>
    <row r="17" customFormat="false" ht="15" hidden="false" customHeight="true" outlineLevel="0" collapsed="false">
      <c r="A17" s="105"/>
      <c r="B17" s="106"/>
      <c r="C17" s="106"/>
      <c r="D17" s="106"/>
      <c r="E17" s="107"/>
      <c r="F17" s="10" t="str">
        <f aca="false">IF(E17="","",$B$4-SUM($E$8:E17))</f>
        <v/>
      </c>
    </row>
    <row r="18" customFormat="false" ht="15" hidden="false" customHeight="true" outlineLevel="0" collapsed="false">
      <c r="A18" s="105"/>
      <c r="B18" s="106"/>
      <c r="C18" s="106"/>
      <c r="D18" s="106"/>
      <c r="E18" s="107"/>
      <c r="F18" s="10" t="str">
        <f aca="false">IF(E18="","",$B$4-SUM($E$8:E18))</f>
        <v/>
      </c>
    </row>
    <row r="19" customFormat="false" ht="15" hidden="false" customHeight="true" outlineLevel="0" collapsed="false">
      <c r="A19" s="105"/>
      <c r="B19" s="106"/>
      <c r="C19" s="106"/>
      <c r="D19" s="106"/>
      <c r="E19" s="107"/>
      <c r="F19" s="10" t="str">
        <f aca="false">IF(E19="","",$B$4-SUM($E$8:E19))</f>
        <v/>
      </c>
    </row>
    <row r="20" customFormat="false" ht="15" hidden="false" customHeight="true" outlineLevel="0" collapsed="false">
      <c r="A20" s="105"/>
      <c r="B20" s="106"/>
      <c r="C20" s="106"/>
      <c r="D20" s="106"/>
      <c r="E20" s="107"/>
      <c r="F20" s="10" t="str">
        <f aca="false">IF(E20="","",$B$4-SUM($E$8:E20))</f>
        <v/>
      </c>
    </row>
    <row r="21" customFormat="false" ht="15" hidden="false" customHeight="true" outlineLevel="0" collapsed="false">
      <c r="A21" s="105"/>
      <c r="B21" s="106"/>
      <c r="C21" s="106"/>
      <c r="D21" s="106"/>
      <c r="E21" s="107"/>
      <c r="F21" s="10" t="str">
        <f aca="false">IF(E21="","",$B$4-SUM($E$8:E21))</f>
        <v/>
      </c>
    </row>
    <row r="22" customFormat="false" ht="15" hidden="false" customHeight="true" outlineLevel="0" collapsed="false">
      <c r="A22" s="105"/>
      <c r="B22" s="106"/>
      <c r="C22" s="106"/>
      <c r="D22" s="106"/>
      <c r="E22" s="107"/>
      <c r="F22" s="10" t="str">
        <f aca="false">IF(E22="","",$B$4-SUM($E$8:E22))</f>
        <v/>
      </c>
    </row>
    <row r="23" customFormat="false" ht="15" hidden="false" customHeight="true" outlineLevel="0" collapsed="false">
      <c r="A23" s="105"/>
      <c r="B23" s="106"/>
      <c r="C23" s="106"/>
      <c r="D23" s="106"/>
      <c r="E23" s="107"/>
      <c r="F23" s="10" t="str">
        <f aca="false">IF(E23="","",$B$4-SUM($E$8:E23))</f>
        <v/>
      </c>
    </row>
    <row r="24" customFormat="false" ht="15" hidden="false" customHeight="true" outlineLevel="0" collapsed="false">
      <c r="A24" s="105"/>
      <c r="B24" s="106"/>
      <c r="C24" s="106"/>
      <c r="D24" s="106"/>
      <c r="E24" s="107"/>
      <c r="F24" s="10" t="str">
        <f aca="false">IF(E24="","",$B$4-SUM($E$8:E24))</f>
        <v/>
      </c>
    </row>
    <row r="25" customFormat="false" ht="15" hidden="false" customHeight="true" outlineLevel="0" collapsed="false">
      <c r="A25" s="105"/>
      <c r="B25" s="106"/>
      <c r="C25" s="106"/>
      <c r="D25" s="106"/>
      <c r="E25" s="107"/>
      <c r="F25" s="10" t="str">
        <f aca="false">IF(E25="","",$B$4-SUM($E$8:E25))</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2026-07-13T22:53:36Z</dcterms:created>
  <dc:creator>openpyxl</dc:creator>
  <dc:description/>
  <dc:language>en-US</dc:language>
  <cp:lastModifiedBy/>
  <dcterms:modified xsi:type="dcterms:W3CDTF">2026-10-22T13:56:59Z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