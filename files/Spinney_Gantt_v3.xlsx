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Gantt" sheetId="1" state="visible" r:id="rId1"/>
    <sheet xmlns:r="http://schemas.openxmlformats.org/officeDocument/2006/relationships" name="Task Register" sheetId="2" state="visible" r:id="rId2"/>
    <sheet xmlns:r="http://schemas.openxmlformats.org/officeDocument/2006/relationships" name="Referenc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\ mmm\ yyyy"/>
    <numFmt numFmtId="165" formatCode="dd\ mmm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Georgia"/>
      <charset val="1"/>
      <family val="1"/>
      <b val="1"/>
      <color rgb="FF0F766E"/>
      <sz val="16"/>
    </font>
    <font>
      <name val="Calibri"/>
      <charset val="1"/>
      <family val="2"/>
      <b val="1"/>
      <color rgb="FF1F2937"/>
      <sz val="11"/>
    </font>
    <font>
      <name val="Calibri"/>
      <charset val="1"/>
      <family val="2"/>
      <color rgb="FF0000FF"/>
      <sz val="11"/>
    </font>
    <font>
      <name val="Calibri"/>
      <charset val="1"/>
      <family val="2"/>
      <i val="1"/>
      <color rgb="FF6B7280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color rgb="FF1F2937"/>
      <sz val="11"/>
    </font>
    <font>
      <name val="Calibri"/>
      <charset val="1"/>
      <family val="2"/>
      <color theme="10"/>
      <sz val="11"/>
      <u val="single"/>
    </font>
    <font>
      <name val="Calibri"/>
      <color rgb="001F2937"/>
      <sz val="11"/>
    </font>
  </fonts>
  <fills count="9">
    <fill>
      <patternFill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0F766E"/>
        <bgColor rgb="FF0D9488"/>
      </patternFill>
    </fill>
    <fill>
      <patternFill patternType="solid">
        <fgColor rgb="FF0D9488"/>
        <bgColor rgb="FF339966"/>
      </patternFill>
    </fill>
    <fill>
      <patternFill patternType="solid">
        <fgColor rgb="FFD1D5DB"/>
        <bgColor rgb="FFC0C0C0"/>
      </patternFill>
    </fill>
    <fill>
      <patternFill patternType="solid">
        <fgColor rgb="FFF0FDFA"/>
        <bgColor rgb="FFF3F4F6"/>
      </patternFill>
    </fill>
    <fill>
      <patternFill patternType="solid">
        <fgColor rgb="FFF3F4F6"/>
        <bgColor rgb="FFF0FDFA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6" fillId="2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165" fontId="6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 wrapText="1"/>
    </xf>
    <xf numFmtId="165" fontId="10" fillId="6" borderId="1" applyAlignment="1" pivotButton="0" quotePrefix="0" xfId="0">
      <alignment horizontal="center" vertical="center"/>
    </xf>
    <xf numFmtId="165" fontId="0" fillId="0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165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6" fillId="2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165" fontId="6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 wrapText="1"/>
    </xf>
    <xf numFmtId="165" fontId="10" fillId="6" borderId="1" applyAlignment="1" pivotButton="0" quotePrefix="0" xfId="0">
      <alignment horizontal="center" vertical="center"/>
    </xf>
    <xf numFmtId="165" fontId="0" fillId="0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165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12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 wrapText="1"/>
    </xf>
    <xf numFmtId="0" fontId="0" fillId="8" borderId="2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>
          <bgColor rgb="FF0D9488"/>
        </patternFill>
      </fill>
    </dxf>
    <dxf>
      <fill>
        <patternFill>
          <bgColor rgb="FFF59E0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9C4"/>
      <rgbColor rgb="FFF0FDFA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D9488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mailto:larakriek@gmail.com" TargetMode="External" Id="rId1"/><Relationship Type="http://schemas.openxmlformats.org/officeDocument/2006/relationships/hyperlink" Target="mailto:neels.kriek@gmail.com" TargetMode="External" Id="rId2"/><Relationship Type="http://schemas.openxmlformats.org/officeDocument/2006/relationships/hyperlink" Target="mailto:ryanbishop23@gmail.com" TargetMode="External" Id="rId3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C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E45" activeCellId="0" sqref="E45"/>
    </sheetView>
  </sheetViews>
  <sheetFormatPr baseColWidth="8" defaultColWidth="8.66796875" defaultRowHeight="15" zeroHeight="0" outlineLevelRow="0"/>
  <cols>
    <col width="11" customWidth="1" style="28" min="1" max="1"/>
    <col width="97" customWidth="1" style="28" min="2" max="2"/>
    <col width="12" customWidth="1" style="28" min="3" max="3"/>
    <col width="15" customWidth="1" style="28" min="4" max="4"/>
    <col width="6" customWidth="1" style="28" min="5" max="5"/>
    <col width="11" customWidth="1" style="28" min="6" max="6"/>
    <col width="10" customWidth="1" style="28" min="7" max="8"/>
    <col width="7.5" customWidth="1" style="28" min="9" max="29"/>
  </cols>
  <sheetData>
    <row r="1" ht="21" customHeight="1" s="29">
      <c r="A1" s="30" t="inlineStr">
        <is>
          <t>Spinney External Works — Project Gantt (v3 — replanned 10 Aug, parallel execution)</t>
        </is>
      </c>
    </row>
    <row r="2" ht="15" customHeight="1" s="29">
      <c r="A2" s="31" t="inlineStr">
        <is>
          <t>Last updated:</t>
        </is>
      </c>
      <c r="B2" s="32" t="n">
        <v>46244</v>
      </c>
      <c r="C2" s="33" t="inlineStr">
        <is>
          <t>Crew basis: Luke +1. Works now running in PARALLEL (chimney/coping/soakaway simultaneously), superseding the original one-phase-at-a-time model. Luke's 22–29 Aug holiday is the binding constraint on decking start, not sequential dependencies.</t>
        </is>
      </c>
    </row>
    <row r="3" ht="15" customHeight="1" s="29">
      <c r="A3" s="33" t="inlineStr">
        <is>
          <t>Legend: teal bar = task · gold = milestone / stage gate · grey column = Luke holiday · blue text on yellow = edit these cells (Start / End dates drive the bars)</t>
        </is>
      </c>
    </row>
    <row r="5" ht="15.75" customHeight="1" s="29">
      <c r="A5" s="34" t="inlineStr">
        <is>
          <t>ID</t>
        </is>
      </c>
      <c r="B5" s="34" t="inlineStr">
        <is>
          <t>Task</t>
        </is>
      </c>
      <c r="C5" s="34" t="inlineStr">
        <is>
          <t>Owner</t>
        </is>
      </c>
      <c r="D5" s="34" t="inlineStr">
        <is>
          <t>Depends on</t>
        </is>
      </c>
      <c r="E5" s="34" t="inlineStr">
        <is>
          <t>Days</t>
        </is>
      </c>
      <c r="F5" s="34" t="inlineStr">
        <is>
          <t>Status</t>
        </is>
      </c>
      <c r="G5" s="34" t="inlineStr">
        <is>
          <t>Start</t>
        </is>
      </c>
      <c r="H5" s="34" t="inlineStr">
        <is>
          <t>End</t>
        </is>
      </c>
      <c r="I5" s="35" t="n">
        <v>46216</v>
      </c>
      <c r="J5" s="35" t="n">
        <v>46223</v>
      </c>
      <c r="K5" s="35" t="n">
        <v>46230</v>
      </c>
      <c r="L5" s="35" t="n">
        <v>46237</v>
      </c>
      <c r="M5" s="35" t="n">
        <v>46244</v>
      </c>
      <c r="N5" s="35" t="n">
        <v>46251</v>
      </c>
      <c r="O5" s="35" t="n">
        <v>46258</v>
      </c>
      <c r="P5" s="35" t="n">
        <v>46265</v>
      </c>
      <c r="Q5" s="35" t="n">
        <v>46272</v>
      </c>
      <c r="R5" s="35" t="n">
        <v>46279</v>
      </c>
      <c r="S5" s="35" t="n">
        <v>46286</v>
      </c>
      <c r="T5" s="35" t="n">
        <v>46293</v>
      </c>
      <c r="U5" s="35" t="n">
        <v>46300</v>
      </c>
      <c r="V5" s="35" t="n">
        <v>46307</v>
      </c>
      <c r="W5" s="35" t="n">
        <v>46314</v>
      </c>
      <c r="X5" s="35" t="n">
        <v>46321</v>
      </c>
      <c r="Y5" s="35" t="n">
        <v>46328</v>
      </c>
      <c r="Z5" s="35" t="n">
        <v>46335</v>
      </c>
      <c r="AA5" s="35" t="n">
        <v>46342</v>
      </c>
      <c r="AB5" s="35" t="n">
        <v>46349</v>
      </c>
      <c r="AC5" s="35" t="n">
        <v>46356</v>
      </c>
    </row>
    <row r="6" ht="15.75" customHeight="1" s="29">
      <c r="A6" s="36" t="inlineStr">
        <is>
          <t>PHASE 1 — SCAFFOLD &amp; AT-HEIGHT WORKS</t>
        </is>
      </c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8" t="n"/>
      <c r="L6" s="37" t="n"/>
      <c r="M6" s="37" t="n"/>
      <c r="N6" s="37" t="n"/>
      <c r="O6" s="38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</row>
    <row r="7" ht="15.75" customHeight="1" s="29">
      <c r="A7" s="39" t="inlineStr">
        <is>
          <t>1.0</t>
        </is>
      </c>
      <c r="B7" s="40" t="inlineStr">
        <is>
          <t>Site setup &amp; garden segregation fencing (family access preserved)</t>
        </is>
      </c>
      <c r="C7" s="39" t="inlineStr">
        <is>
          <t>Luke +1</t>
        </is>
      </c>
      <c r="D7" s="39" t="inlineStr">
        <is>
          <t>—</t>
        </is>
      </c>
      <c r="E7" s="39" t="n">
        <v>2</v>
      </c>
      <c r="F7" s="39" t="inlineStr">
        <is>
          <t>Not started</t>
        </is>
      </c>
      <c r="G7" s="41" t="n">
        <v>46216</v>
      </c>
      <c r="H7" s="41" t="n">
        <v>46217</v>
      </c>
      <c r="I7" s="42" t="n"/>
      <c r="J7" s="42" t="n"/>
      <c r="K7" s="43" t="n"/>
      <c r="L7" s="42" t="n"/>
      <c r="M7" s="42" t="n"/>
      <c r="N7" s="42" t="n"/>
      <c r="O7" s="43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  <c r="AA7" s="42" t="n"/>
      <c r="AB7" s="42" t="n"/>
      <c r="AC7" s="42" t="n"/>
    </row>
    <row r="8" ht="15.75" customHeight="1" s="29">
      <c r="A8" s="39" t="inlineStr">
        <is>
          <t>1.1</t>
        </is>
      </c>
      <c r="B8" s="40" t="inlineStr">
        <is>
          <t>Scaffold A + B erection (incl. discrete decking demolition at footing points)</t>
        </is>
      </c>
      <c r="C8" s="39" t="inlineStr">
        <is>
          <t>Trevor</t>
        </is>
      </c>
      <c r="D8" s="39" t="inlineStr">
        <is>
          <t>1.0</t>
        </is>
      </c>
      <c r="E8" s="39" t="n">
        <v>2</v>
      </c>
      <c r="F8" s="39" t="inlineStr">
        <is>
          <t>Not started</t>
        </is>
      </c>
      <c r="G8" s="41" t="n">
        <v>46220</v>
      </c>
      <c r="H8" s="41" t="n">
        <v>46221</v>
      </c>
      <c r="I8" s="42" t="n"/>
      <c r="J8" s="42" t="n"/>
      <c r="K8" s="43" t="n"/>
      <c r="L8" s="42" t="n"/>
      <c r="M8" s="42" t="n"/>
      <c r="N8" s="42" t="n"/>
      <c r="O8" s="43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  <c r="AC8" s="42" t="n"/>
    </row>
    <row r="9" ht="15.75" customHeight="1" s="29">
      <c r="A9" s="39" t="inlineStr">
        <is>
          <t>1.2</t>
        </is>
      </c>
      <c r="B9" s="40" t="inlineStr">
        <is>
          <t>Chimney repair — cut render to substrate, realign, re-render (finish pending stainless steel cowl, due Fri 14 Aug)</t>
        </is>
      </c>
      <c r="C9" s="39" t="inlineStr">
        <is>
          <t>Luke +1</t>
        </is>
      </c>
      <c r="D9" s="39" t="inlineStr">
        <is>
          <t>1.1</t>
        </is>
      </c>
      <c r="E9" s="39" t="n">
        <v>7</v>
      </c>
      <c r="F9" s="39" t="inlineStr">
        <is>
          <t>In progress</t>
        </is>
      </c>
      <c r="G9" s="41" t="n">
        <v>46223</v>
      </c>
      <c r="H9" s="41" t="n">
        <v>46248</v>
      </c>
      <c r="I9" s="42" t="n"/>
      <c r="J9" s="42" t="n"/>
      <c r="K9" s="43" t="n"/>
      <c r="L9" s="42" t="n"/>
      <c r="M9" s="42" t="n"/>
      <c r="N9" s="42" t="n"/>
      <c r="O9" s="43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  <c r="AC9" s="42" t="n"/>
    </row>
    <row r="10" ht="15.75" customHeight="1" s="29">
      <c r="A10" s="39" t="inlineStr">
        <is>
          <t>1.3</t>
        </is>
      </c>
      <c r="B10" s="40" t="inlineStr">
        <is>
          <t>Coping stones — cut back, lead flashing, replace stones, watertight (target finish Wed 12 Aug, buffer to Fri)</t>
        </is>
      </c>
      <c r="C10" s="39" t="inlineStr">
        <is>
          <t>Luke +1</t>
        </is>
      </c>
      <c r="D10" s="39" t="inlineStr">
        <is>
          <t>1.2</t>
        </is>
      </c>
      <c r="E10" s="39" t="n">
        <v>10</v>
      </c>
      <c r="F10" s="39" t="inlineStr">
        <is>
          <t>In progress</t>
        </is>
      </c>
      <c r="G10" s="41" t="n">
        <v>46237</v>
      </c>
      <c r="H10" s="41" t="n">
        <v>46248</v>
      </c>
      <c r="I10" s="42" t="n"/>
      <c r="J10" s="42" t="n"/>
      <c r="K10" s="43" t="n"/>
      <c r="L10" s="42" t="n"/>
      <c r="M10" s="42" t="n"/>
      <c r="N10" s="42" t="n"/>
      <c r="O10" s="43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  <c r="AA10" s="42" t="n"/>
      <c r="AB10" s="42" t="n"/>
      <c r="AC10" s="42" t="n"/>
    </row>
    <row r="11" ht="15.75" customHeight="1" s="29">
      <c r="A11" s="39" t="inlineStr">
        <is>
          <t>1.4</t>
        </is>
      </c>
      <c r="B11" s="40" t="inlineStr">
        <is>
          <t>Back-of-house gutters — realign, lead flashing, hedgehog brushes. Scaffold not needed for the work itself, but comes down first as it's in the way — follows scaffold strike (1.5). Complete ahead of: (1) decking strip-out, either side; (2) coping's remaining 50% invoice (£1,900). Cost confirmed via WhatsApp (10 Aug): included in Luke's roof-work scope, no separate charge.</t>
        </is>
      </c>
      <c r="C11" s="39" t="inlineStr">
        <is>
          <t>Luke +1</t>
        </is>
      </c>
      <c r="D11" s="39" t="inlineStr">
        <is>
          <t>1.5</t>
        </is>
      </c>
      <c r="E11" s="39" t="n">
        <v>3</v>
      </c>
      <c r="F11" s="39" t="inlineStr">
        <is>
          <t>Not started</t>
        </is>
      </c>
      <c r="G11" s="41" t="n">
        <v>46253</v>
      </c>
      <c r="H11" s="41" t="n">
        <v>46255</v>
      </c>
      <c r="I11" s="42" t="n"/>
      <c r="J11" s="42" t="n"/>
      <c r="K11" s="43" t="n"/>
      <c r="L11" s="42" t="n"/>
      <c r="M11" s="42" t="n"/>
      <c r="N11" s="42" t="n"/>
      <c r="O11" s="43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  <c r="AA11" s="42" t="n"/>
      <c r="AB11" s="42" t="n"/>
      <c r="AC11" s="42" t="n"/>
    </row>
    <row r="12" ht="15.75" customHeight="1" s="29">
      <c r="A12" s="39" t="inlineStr">
        <is>
          <t>G1</t>
        </is>
      </c>
      <c r="B12" s="44" t="inlineStr">
        <is>
          <t>STAGE GATE 1 — At-height works sign-off: cowl fitted, chimney + coping finished, "everything looks great" (Lara / Neels / Ryan)</t>
        </is>
      </c>
      <c r="C12" s="39" t="inlineStr">
        <is>
          <t>Family</t>
        </is>
      </c>
      <c r="D12" s="39" t="inlineStr">
        <is>
          <t>1.2, 1.3</t>
        </is>
      </c>
      <c r="E12" s="39" t="n"/>
      <c r="F12" s="39" t="inlineStr">
        <is>
          <t>Not started</t>
        </is>
      </c>
      <c r="G12" s="41" t="n">
        <v>46251</v>
      </c>
      <c r="H12" s="41" t="n">
        <v>46251</v>
      </c>
      <c r="I12" s="42" t="n"/>
      <c r="J12" s="42" t="n"/>
      <c r="K12" s="43" t="n"/>
      <c r="L12" s="42" t="n"/>
      <c r="M12" s="42" t="n"/>
      <c r="N12" s="42" t="n"/>
      <c r="O12" s="43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  <c r="AA12" s="42" t="n"/>
      <c r="AB12" s="42" t="n"/>
      <c r="AC12" s="42" t="n"/>
    </row>
    <row r="13" ht="15.75" customHeight="1" s="29">
      <c r="A13" s="39" t="inlineStr">
        <is>
          <t>1.5</t>
        </is>
      </c>
      <c r="B13" s="40" t="inlineStr">
        <is>
          <t>Scaffold strike (A + B) — at scaffolders' convenience after Gate 1; date below is a working estimate, not fixed. Final £1,200 payment due on strike.</t>
        </is>
      </c>
      <c r="C13" s="39" t="inlineStr">
        <is>
          <t>Trevor</t>
        </is>
      </c>
      <c r="D13" s="39" t="inlineStr">
        <is>
          <t>G1</t>
        </is>
      </c>
      <c r="E13" s="39" t="n">
        <v>1</v>
      </c>
      <c r="F13" s="39" t="inlineStr">
        <is>
          <t>Not started</t>
        </is>
      </c>
      <c r="G13" s="41" t="n">
        <v>46252</v>
      </c>
      <c r="H13" s="41" t="n">
        <v>46252</v>
      </c>
      <c r="I13" s="42" t="n"/>
      <c r="J13" s="42" t="n"/>
      <c r="K13" s="43" t="n"/>
      <c r="L13" s="42" t="n"/>
      <c r="M13" s="42" t="n"/>
      <c r="N13" s="42" t="n"/>
      <c r="O13" s="43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  <c r="AA13" s="42" t="n"/>
      <c r="AB13" s="42" t="n"/>
      <c r="AC13" s="42" t="n"/>
    </row>
    <row r="14" ht="15.75" customHeight="1" s="29">
      <c r="A14" s="36" t="inlineStr">
        <is>
          <t>PHASE 2 — GROUNDWORKS &amp; DECKING</t>
        </is>
      </c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8" t="n"/>
      <c r="L14" s="37" t="n"/>
      <c r="M14" s="37" t="n"/>
      <c r="N14" s="37" t="n"/>
      <c r="O14" s="38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</row>
    <row r="15" ht="15.75" customHeight="1" s="29">
      <c r="A15" s="39" t="inlineStr">
        <is>
          <t>2.1</t>
        </is>
      </c>
      <c r="B15" s="40" t="inlineStr">
        <is>
          <t>Soakaway drainage, side (a) — partial deck demo (top layer, started 10 Aug), new pipework, reposition existing pipe and realign pump as backup drainage. Full 2 weeks — tight against Luke's 22 Aug holiday, zero buffer.</t>
        </is>
      </c>
      <c r="C15" s="39" t="inlineStr">
        <is>
          <t>Luke +1</t>
        </is>
      </c>
      <c r="D15" s="39" t="inlineStr">
        <is>
          <t>—</t>
        </is>
      </c>
      <c r="E15" s="39" t="n">
        <v>5</v>
      </c>
      <c r="F15" s="39" t="inlineStr">
        <is>
          <t>In progress</t>
        </is>
      </c>
      <c r="G15" s="41" t="n">
        <v>46244</v>
      </c>
      <c r="H15" s="41" t="n">
        <v>46255</v>
      </c>
      <c r="I15" s="42" t="n"/>
      <c r="J15" s="42" t="n"/>
      <c r="K15" s="43" t="n"/>
      <c r="L15" s="42" t="n"/>
      <c r="M15" s="42" t="n"/>
      <c r="N15" s="42" t="n"/>
      <c r="O15" s="43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  <c r="AA15" s="42" t="n"/>
      <c r="AB15" s="42" t="n"/>
      <c r="AC15" s="42" t="n"/>
    </row>
    <row r="16" ht="15.75" customHeight="1" s="29">
      <c r="A16" s="39" t="inlineStr">
        <is>
          <t>V1</t>
        </is>
      </c>
      <c r="B16" s="44" t="inlineStr">
        <is>
          <t>V4 Phase 1 — notified 10 Aug, delivery Wed 12 Aug: substructure, fixings, 2 boards (upper level, doesn't impact scaffold or soakaway)</t>
        </is>
      </c>
      <c r="C16" s="39" t="inlineStr">
        <is>
          <t>Ryan</t>
        </is>
      </c>
      <c r="D16" s="39" t="inlineStr">
        <is>
          <t>—</t>
        </is>
      </c>
      <c r="E16" s="39" t="n"/>
      <c r="F16" s="39" t="inlineStr">
        <is>
          <t>Notified</t>
        </is>
      </c>
      <c r="G16" s="45" t="n">
        <v>46244</v>
      </c>
      <c r="H16" s="45" t="n">
        <v>46246</v>
      </c>
      <c r="I16" s="42" t="n"/>
      <c r="J16" s="42" t="n"/>
      <c r="K16" s="43" t="n"/>
      <c r="L16" s="42" t="n"/>
      <c r="M16" s="42" t="n"/>
      <c r="N16" s="42" t="n"/>
      <c r="O16" s="43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</row>
    <row r="17" ht="15.75" customHeight="1" s="29">
      <c r="A17" s="39" t="inlineStr">
        <is>
          <t>V2</t>
        </is>
      </c>
      <c r="B17" s="40" t="inlineStr">
        <is>
          <t>V4 Phase 2 — remaining decking boards, ordered on request when needed (date TBC, not before decking (a) underway)</t>
        </is>
      </c>
      <c r="C17" s="39" t="inlineStr">
        <is>
          <t>V4 Flooring</t>
        </is>
      </c>
      <c r="D17" s="39" t="inlineStr">
        <is>
          <t>On request</t>
        </is>
      </c>
      <c r="E17" s="39" t="inlineStr">
        <is>
          <t>—</t>
        </is>
      </c>
      <c r="F17" s="39" t="inlineStr">
        <is>
          <t>Floating</t>
        </is>
      </c>
      <c r="G17" s="45">
        <f>$G$18-5</f>
        <v/>
      </c>
      <c r="H17" s="45">
        <f>$G$18-4</f>
        <v/>
      </c>
      <c r="I17" s="42" t="n"/>
      <c r="J17" s="42" t="n"/>
      <c r="K17" s="43" t="n"/>
      <c r="L17" s="42" t="n"/>
      <c r="M17" s="42" t="n"/>
      <c r="N17" s="42" t="n"/>
      <c r="O17" s="43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42" t="n"/>
      <c r="AB17" s="42" t="n"/>
      <c r="AC17" s="42" t="n"/>
    </row>
    <row r="18" ht="15.75" customHeight="1" s="29">
      <c r="A18" s="39" t="inlineStr">
        <is>
          <t>2.3</t>
        </is>
      </c>
      <c r="B18" s="40" t="inlineStr">
        <is>
          <t>Decking side (a) — strip out, new substructure, lay Millboard per design (access: gate a only)</t>
        </is>
      </c>
      <c r="C18" s="39" t="inlineStr">
        <is>
          <t>Luke +1</t>
        </is>
      </c>
      <c r="D18" s="39" t="inlineStr">
        <is>
          <t>1.4, 1.5, 2.1</t>
        </is>
      </c>
      <c r="E18" s="39" t="n">
        <v>13</v>
      </c>
      <c r="F18" s="39" t="inlineStr">
        <is>
          <t>Not started</t>
        </is>
      </c>
      <c r="G18" s="41" t="n">
        <v>46266</v>
      </c>
      <c r="H18" s="41" t="n">
        <v>46282</v>
      </c>
      <c r="I18" s="42" t="n"/>
      <c r="J18" s="42" t="n"/>
      <c r="K18" s="43" t="n"/>
      <c r="L18" s="42" t="n"/>
      <c r="M18" s="42" t="n"/>
      <c r="N18" s="42" t="n"/>
      <c r="O18" s="43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  <c r="AA18" s="42" t="n"/>
      <c r="AB18" s="42" t="n"/>
      <c r="AC18" s="42" t="n"/>
    </row>
    <row r="19" ht="15.75" customHeight="1" s="29">
      <c r="A19" s="39" t="inlineStr">
        <is>
          <t>G2</t>
        </is>
      </c>
      <c r="B19" s="44" t="inlineStr">
        <is>
          <t>STAGE GATE 2 — Decking (a) sign-off</t>
        </is>
      </c>
      <c r="C19" s="39" t="inlineStr">
        <is>
          <t>Family</t>
        </is>
      </c>
      <c r="D19" s="39" t="inlineStr">
        <is>
          <t>2.3</t>
        </is>
      </c>
      <c r="E19" s="39" t="n"/>
      <c r="F19" s="39" t="inlineStr">
        <is>
          <t>Not started</t>
        </is>
      </c>
      <c r="G19" s="41" t="n">
        <v>46283</v>
      </c>
      <c r="H19" s="41" t="n">
        <v>46283</v>
      </c>
      <c r="I19" s="42" t="n"/>
      <c r="J19" s="42" t="n"/>
      <c r="K19" s="43" t="n"/>
      <c r="L19" s="42" t="n"/>
      <c r="M19" s="42" t="n"/>
      <c r="N19" s="42" t="n"/>
      <c r="O19" s="43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</row>
    <row r="20" ht="15.75" customHeight="1" s="29">
      <c r="A20" s="39" t="inlineStr">
        <is>
          <t>2.4</t>
        </is>
      </c>
      <c r="B20" s="40" t="inlineStr">
        <is>
          <t>Decking side (b) — strip out, new substructure, lay Millboard per design (access: gate b only)</t>
        </is>
      </c>
      <c r="C20" s="39" t="inlineStr">
        <is>
          <t>Luke +1</t>
        </is>
      </c>
      <c r="D20" s="39" t="inlineStr">
        <is>
          <t>G2, 3.3</t>
        </is>
      </c>
      <c r="E20" s="39" t="n">
        <v>13</v>
      </c>
      <c r="F20" s="39" t="inlineStr">
        <is>
          <t>Not started</t>
        </is>
      </c>
      <c r="G20" s="41" t="n">
        <v>46286</v>
      </c>
      <c r="H20" s="41" t="n">
        <v>46302</v>
      </c>
      <c r="I20" s="42" t="n"/>
      <c r="J20" s="42" t="n"/>
      <c r="K20" s="43" t="n"/>
      <c r="L20" s="42" t="n"/>
      <c r="M20" s="42" t="n"/>
      <c r="N20" s="42" t="n"/>
      <c r="O20" s="43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</row>
    <row r="21" ht="15.75" customHeight="1" s="29">
      <c r="A21" s="39" t="inlineStr">
        <is>
          <t>G3</t>
        </is>
      </c>
      <c r="B21" s="44" t="inlineStr">
        <is>
          <t>STAGE GATE 3 — Decking (b) sign-off</t>
        </is>
      </c>
      <c r="C21" s="39" t="inlineStr">
        <is>
          <t>Family</t>
        </is>
      </c>
      <c r="D21" s="39" t="inlineStr">
        <is>
          <t>2.4</t>
        </is>
      </c>
      <c r="E21" s="39" t="n"/>
      <c r="F21" s="39" t="inlineStr">
        <is>
          <t>Not started</t>
        </is>
      </c>
      <c r="G21" s="41" t="n">
        <v>46303</v>
      </c>
      <c r="H21" s="41" t="n">
        <v>46303</v>
      </c>
      <c r="I21" s="42" t="n"/>
      <c r="J21" s="42" t="n"/>
      <c r="K21" s="43" t="n"/>
      <c r="L21" s="42" t="n"/>
      <c r="M21" s="42" t="n"/>
      <c r="N21" s="42" t="n"/>
      <c r="O21" s="43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</row>
    <row r="22" ht="15.75" customHeight="1" s="29">
      <c r="A22" s="39" t="inlineStr">
        <is>
          <t>2.5</t>
        </is>
      </c>
      <c r="B22" s="40" t="inlineStr">
        <is>
          <t>Bonus — BBQ &amp; shed area from offcuts / excess, side (a)</t>
        </is>
      </c>
      <c r="C22" s="39" t="inlineStr">
        <is>
          <t>Luke +1</t>
        </is>
      </c>
      <c r="D22" s="39" t="inlineStr">
        <is>
          <t>G3</t>
        </is>
      </c>
      <c r="E22" s="39" t="n">
        <v>3</v>
      </c>
      <c r="F22" s="39" t="inlineStr">
        <is>
          <t>Not started</t>
        </is>
      </c>
      <c r="G22" s="41" t="n">
        <v>46304</v>
      </c>
      <c r="H22" s="41" t="n">
        <v>46308</v>
      </c>
      <c r="I22" s="42" t="n"/>
      <c r="J22" s="42" t="n"/>
      <c r="K22" s="43" t="n"/>
      <c r="L22" s="42" t="n"/>
      <c r="M22" s="42" t="n"/>
      <c r="N22" s="42" t="n"/>
      <c r="O22" s="43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</row>
    <row r="23" ht="15.75" customHeight="1" s="29">
      <c r="A23" s="39" t="inlineStr">
        <is>
          <t>G4</t>
        </is>
      </c>
      <c r="B23" s="44" t="inlineStr">
        <is>
          <t>PROJECT COMPLETION — snagging &amp; final sign-off</t>
        </is>
      </c>
      <c r="C23" s="39" t="inlineStr">
        <is>
          <t>Family</t>
        </is>
      </c>
      <c r="D23" s="39" t="inlineStr">
        <is>
          <t>All</t>
        </is>
      </c>
      <c r="E23" s="39" t="n"/>
      <c r="F23" s="39" t="inlineStr">
        <is>
          <t>Not started</t>
        </is>
      </c>
      <c r="G23" s="41" t="n">
        <v>46309</v>
      </c>
      <c r="H23" s="41" t="n">
        <v>46309</v>
      </c>
      <c r="I23" s="42" t="n"/>
      <c r="J23" s="42" t="n"/>
      <c r="K23" s="43" t="n"/>
      <c r="L23" s="42" t="n"/>
      <c r="M23" s="42" t="n"/>
      <c r="N23" s="42" t="n"/>
      <c r="O23" s="43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</row>
    <row r="24" ht="15.75" customHeight="1" s="29">
      <c r="A24" s="36" t="inlineStr">
        <is>
          <t>PHASE 3 — FLOATING / RAINY-DAY POOL (pivot here when weather or hold-ups stall the spine)</t>
        </is>
      </c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8" t="n"/>
      <c r="L24" s="37" t="n"/>
      <c r="M24" s="37" t="n"/>
      <c r="N24" s="37" t="n"/>
      <c r="O24" s="38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</row>
    <row r="25" ht="15.75" customHeight="1" s="29">
      <c r="A25" s="39" t="inlineStr">
        <is>
          <t>3.1</t>
        </is>
      </c>
      <c r="B25" s="40" t="inlineStr">
        <is>
          <t>Driveway channel — lift cobbles, dig waste channel, connect softener discharge to natural drainage, reinstate</t>
        </is>
      </c>
      <c r="C25" s="39" t="inlineStr">
        <is>
          <t>Luke +1</t>
        </is>
      </c>
      <c r="D25" s="39" t="inlineStr">
        <is>
          <t>—</t>
        </is>
      </c>
      <c r="E25" s="39" t="n">
        <v>4</v>
      </c>
      <c r="F25" s="39" t="inlineStr">
        <is>
          <t>Floating</t>
        </is>
      </c>
      <c r="G25" s="46" t="n"/>
      <c r="H25" s="46" t="n"/>
      <c r="I25" s="47" t="n"/>
      <c r="J25" s="47" t="n"/>
      <c r="K25" s="43" t="n"/>
      <c r="L25" s="47" t="n"/>
      <c r="M25" s="47" t="n"/>
      <c r="N25" s="47" t="n"/>
      <c r="O25" s="43" t="n"/>
      <c r="P25" s="47" t="n"/>
      <c r="Q25" s="47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  <c r="AA25" s="47" t="n"/>
      <c r="AB25" s="47" t="n"/>
      <c r="AC25" s="47" t="n"/>
    </row>
    <row r="26" ht="15.75" customHeight="1" s="29">
      <c r="A26" s="39" t="inlineStr">
        <is>
          <t>3.2</t>
        </is>
      </c>
      <c r="B26" s="40" t="inlineStr">
        <is>
          <t>Front-of-house gutters, minor roof repairs and tile repairs — repair / realignment (ladder work). Tile repairs confirmed via WhatsApp (10 Aug), same no-separate-charge basis.</t>
        </is>
      </c>
      <c r="C26" s="39" t="inlineStr">
        <is>
          <t>Luke +1</t>
        </is>
      </c>
      <c r="D26" s="39" t="inlineStr">
        <is>
          <t>—</t>
        </is>
      </c>
      <c r="E26" s="39" t="n">
        <v>2</v>
      </c>
      <c r="F26" s="39" t="inlineStr">
        <is>
          <t>Floating</t>
        </is>
      </c>
      <c r="G26" s="46" t="n"/>
      <c r="H26" s="46" t="n"/>
      <c r="I26" s="47" t="n"/>
      <c r="J26" s="47" t="n"/>
      <c r="K26" s="43" t="n"/>
      <c r="L26" s="47" t="n"/>
      <c r="M26" s="47" t="n"/>
      <c r="N26" s="47" t="n"/>
      <c r="O26" s="43" t="n"/>
      <c r="P26" s="47" t="n"/>
      <c r="Q26" s="47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</row>
    <row r="27" ht="15.75" customHeight="1" s="29">
      <c r="A27" s="39" t="inlineStr">
        <is>
          <t>3.3</t>
        </is>
      </c>
      <c r="B27" s="40" t="inlineStr">
        <is>
          <t>Fence spurring, side (b) — MUST complete before decking side (b) starts (latest finish: Sat 19 Sep on current plan)</t>
        </is>
      </c>
      <c r="C27" s="39" t="inlineStr">
        <is>
          <t>Luke +1</t>
        </is>
      </c>
      <c r="D27" s="39" t="inlineStr">
        <is>
          <t>→ before 2.4</t>
        </is>
      </c>
      <c r="E27" s="39" t="n">
        <v>3</v>
      </c>
      <c r="F27" s="39" t="inlineStr">
        <is>
          <t>Floating</t>
        </is>
      </c>
      <c r="G27" s="46" t="n"/>
      <c r="H27" s="46" t="n"/>
      <c r="I27" s="47" t="n"/>
      <c r="J27" s="47" t="n"/>
      <c r="K27" s="43" t="n"/>
      <c r="L27" s="47" t="n"/>
      <c r="M27" s="47" t="n"/>
      <c r="N27" s="47" t="n"/>
      <c r="O27" s="43" t="n"/>
      <c r="P27" s="47" t="n"/>
      <c r="Q27" s="47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</row>
    <row r="28" ht="15.75" customHeight="1" s="29">
      <c r="A28" s="39" t="inlineStr">
        <is>
          <t>3.4</t>
        </is>
      </c>
      <c r="B28" s="40" t="inlineStr">
        <is>
          <t>Tree / bush clearing back to fence boundary — EXTERNAL company; scope &amp; cost outside this project</t>
        </is>
      </c>
      <c r="C28" s="39" t="inlineStr">
        <is>
          <t>External co.</t>
        </is>
      </c>
      <c r="D28" s="39" t="inlineStr">
        <is>
          <t>—</t>
        </is>
      </c>
      <c r="E28" s="39" t="inlineStr">
        <is>
          <t>—</t>
        </is>
      </c>
      <c r="F28" s="39" t="inlineStr">
        <is>
          <t>External</t>
        </is>
      </c>
      <c r="G28" s="46" t="n"/>
      <c r="H28" s="46" t="n"/>
      <c r="I28" s="47" t="n"/>
      <c r="J28" s="47" t="n"/>
      <c r="K28" s="43" t="n"/>
      <c r="L28" s="47" t="n"/>
      <c r="M28" s="47" t="n"/>
      <c r="N28" s="47" t="n"/>
      <c r="O28" s="43" t="n"/>
      <c r="P28" s="47" t="n"/>
      <c r="Q28" s="47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</row>
    <row r="29" ht="15.75" customHeight="1" s="29">
      <c r="A29" s="39" t="inlineStr">
        <is>
          <t>3.5</t>
        </is>
      </c>
      <c r="B29" s="40" t="inlineStr">
        <is>
          <t>Fence relocation — route per TPO outcome (original line or divert around tree)</t>
        </is>
      </c>
      <c r="C29" s="39" t="inlineStr">
        <is>
          <t>Luke +1</t>
        </is>
      </c>
      <c r="D29" s="39" t="inlineStr">
        <is>
          <t>3.4 + TPO</t>
        </is>
      </c>
      <c r="E29" s="39" t="n">
        <v>4</v>
      </c>
      <c r="F29" s="39" t="inlineStr">
        <is>
          <t>Floating</t>
        </is>
      </c>
      <c r="G29" s="46" t="n"/>
      <c r="H29" s="46" t="n"/>
      <c r="I29" s="47" t="n"/>
      <c r="J29" s="47" t="n"/>
      <c r="K29" s="43" t="n"/>
      <c r="L29" s="47" t="n"/>
      <c r="M29" s="47" t="n"/>
      <c r="N29" s="47" t="n"/>
      <c r="O29" s="43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</row>
    <row r="30" ht="15.75" customHeight="1" s="29">
      <c r="A30" s="56" t="inlineStr">
        <is>
          <t>3.6</t>
        </is>
      </c>
      <c r="B30" s="57" t="inlineStr">
        <is>
          <t>Skip 2 — triggered by Luke's request when decking work needs it (not on a fixed cycle; skip 1 arrived 11 Aug)</t>
        </is>
      </c>
      <c r="C30" s="56" t="inlineStr">
        <is>
          <t>Skip Hire Comparison Ltd</t>
        </is>
      </c>
      <c r="D30" s="56" t="inlineStr">
        <is>
          <t>On request</t>
        </is>
      </c>
      <c r="E30" s="56" t="inlineStr">
        <is>
          <t>—</t>
        </is>
      </c>
      <c r="F30" s="56" t="inlineStr">
        <is>
          <t>Floating</t>
        </is>
      </c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  <c r="R30" s="58" t="n"/>
      <c r="S30" s="58" t="n"/>
      <c r="T30" s="58" t="n"/>
      <c r="U30" s="58" t="n"/>
      <c r="V30" s="58" t="n"/>
      <c r="W30" s="58" t="n"/>
      <c r="X30" s="58" t="n"/>
      <c r="Y30" s="58" t="n"/>
      <c r="Z30" s="58" t="n"/>
      <c r="AA30" s="58" t="n"/>
      <c r="AB30" s="58" t="n"/>
      <c r="AC30" s="58" t="n"/>
    </row>
    <row r="31">
      <c r="A31" s="39" t="inlineStr">
        <is>
          <t>T1</t>
        </is>
      </c>
      <c r="B31" s="44" t="inlineStr">
        <is>
          <t>TPO appeal decision — date TBC (branch point for 3.5)</t>
        </is>
      </c>
      <c r="C31" s="39" t="inlineStr">
        <is>
          <t>External</t>
        </is>
      </c>
      <c r="D31" s="39" t="inlineStr">
        <is>
          <t>—</t>
        </is>
      </c>
      <c r="E31" s="39" t="n"/>
      <c r="F31" s="39" t="inlineStr">
        <is>
          <t>Floating</t>
        </is>
      </c>
      <c r="G31" s="48" t="inlineStr">
        <is>
          <t>TBC</t>
        </is>
      </c>
      <c r="H31" s="46" t="n"/>
      <c r="I31" s="47" t="n"/>
      <c r="J31" s="47" t="n"/>
      <c r="K31" s="43" t="n"/>
      <c r="L31" s="47" t="n"/>
      <c r="M31" s="47" t="n"/>
      <c r="N31" s="47" t="n"/>
      <c r="O31" s="43" t="n"/>
      <c r="P31" s="47" t="n"/>
      <c r="Q31" s="47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</row>
    <row r="32" ht="15" customHeight="1" s="29">
      <c r="A32" s="56" t="inlineStr">
        <is>
          <t>3.7</t>
        </is>
      </c>
      <c r="B32" s="57" t="inlineStr">
        <is>
          <t>Pipe investigation &amp; replacement — leaking house waste pipe beneath chimney, found via wet ground at Scaffold A erection</t>
        </is>
      </c>
      <c r="C32" s="56" t="inlineStr">
        <is>
          <t>Luke +1</t>
        </is>
      </c>
      <c r="D32" s="56" t="inlineStr">
        <is>
          <t>1.5, 2.3 (decking a strip-out)</t>
        </is>
      </c>
      <c r="E32" s="56" t="inlineStr">
        <is>
          <t>TBC</t>
        </is>
      </c>
      <c r="F32" s="56" t="inlineStr">
        <is>
          <t>Not started</t>
        </is>
      </c>
      <c r="I32" s="58" t="inlineStr">
        <is>
          <t>Confirmed 10 Aug: chimney = Scaffold A, and 2.1's partial deck demo is also on side (a) — same location. Earliest start: once scaffold struck (~18 Aug) AND old decking/substructure removed on side (a), during 2.3's strip-out (~early Sept, exact day TBC). Duration and cost unknown until exposed and assessed. COST: contingency-funded, no figure yet.</t>
        </is>
      </c>
      <c r="J32" s="58" t="n"/>
      <c r="K32" s="58" t="n"/>
      <c r="L32" s="58" t="n"/>
      <c r="M32" s="58" t="n"/>
      <c r="N32" s="58" t="n"/>
      <c r="O32" s="58" t="n"/>
      <c r="P32" s="58" t="n"/>
      <c r="Q32" s="58" t="n"/>
      <c r="R32" s="58" t="n"/>
      <c r="S32" s="58" t="n"/>
      <c r="T32" s="58" t="n"/>
      <c r="U32" s="58" t="n"/>
      <c r="V32" s="58" t="n"/>
      <c r="W32" s="58" t="n"/>
      <c r="X32" s="58" t="n"/>
      <c r="Y32" s="58" t="n"/>
      <c r="Z32" s="58" t="n"/>
      <c r="AA32" s="58" t="n"/>
      <c r="AB32" s="58" t="n"/>
      <c r="AC32" s="58" t="n"/>
    </row>
    <row r="33" ht="15" customHeight="1" s="29"/>
    <row r="34" ht="15" customHeight="1" s="29"/>
    <row r="35" ht="15" customHeight="1" s="29">
      <c r="A35" s="33" t="inlineStr">
        <is>
          <t>Non-working: Luke holiday w/c 27 Jul &amp; w/c 24 Aug (grey columns); UK bank holiday Mon 31 Aug (w/c 31 Aug is a 4-day week).</t>
        </is>
      </c>
    </row>
    <row r="36" ht="15" customHeight="1" s="29">
      <c r="A36" s="33" t="inlineStr">
        <is>
          <t>Rule: work proceeds only with Luke onsite. As of 10 Aug, works run in PARALLEL (chimney/coping/soakaway simultaneously) — the original one-phase-at-a-time model has been superseded by faster real-world pace. Rainy-day pool absorbs weather losses on render/roof work.</t>
        </is>
      </c>
    </row>
    <row r="37">
      <c r="A37" s="33" t="inlineStr">
        <is>
          <t>Decking start (1 Sep) is set by Luke's 22–29 Aug holiday, not by sequential dependencies — at-height works, gutters, strike and soakaway all complete well ahead of that date.</t>
        </is>
      </c>
    </row>
    <row r="38">
      <c r="A38" s="33" t="inlineStr">
        <is>
          <t>V4 Phase 1 (substructure, fixings, 2 boards) notified and delivered 10–12 Aug, ahead of the old formula-driven milestone. V4 Phase 2 (remaining boards) is ordered on request when needed, mirroring Skip 2's trigger logic.</t>
        </is>
      </c>
    </row>
    <row r="39">
      <c r="A39" s="33" t="inlineStr">
        <is>
          <t>Luke's outline (1 Jul): render, coping and roofing ~3 working weeks total — v1 durations are more conservative; await his corrections before compressing.</t>
        </is>
      </c>
    </row>
  </sheetData>
  <conditionalFormatting sqref="I7:AC11">
    <cfRule type="expression" rank="0" priority="2" equalAverage="0" aboveAverage="0" dxfId="0" text="" percent="0" bottom="0">
      <formula>AND($G7&lt;&gt;"",$H7&lt;&gt;"",$G7&lt;=I$5+6,$H7&gt;=I$5)</formula>
    </cfRule>
  </conditionalFormatting>
  <conditionalFormatting sqref="I13:AC13">
    <cfRule type="expression" rank="0" priority="3" equalAverage="0" aboveAverage="0" dxfId="0" text="" percent="0" bottom="0">
      <formula>AND($G13&lt;&gt;"",$H13&lt;&gt;"",$G13&lt;=I$5+6,$H13&gt;=I$5)</formula>
    </cfRule>
  </conditionalFormatting>
  <conditionalFormatting sqref="I15:AC15">
    <cfRule type="expression" rank="0" priority="4" equalAverage="0" aboveAverage="0" dxfId="0" text="" percent="0" bottom="0">
      <formula>AND($G15&lt;&gt;"",$H15&lt;&gt;"",$G15&lt;=I$5+6,$H15&gt;=I$5)</formula>
    </cfRule>
  </conditionalFormatting>
  <conditionalFormatting sqref="I17:AC18">
    <cfRule type="expression" rank="0" priority="5" equalAverage="0" aboveAverage="0" dxfId="0" text="" percent="0" bottom="0">
      <formula>AND($G17&lt;&gt;"",$H17&lt;&gt;"",$G17&lt;=I$5+6,$H17&gt;=I$5)</formula>
    </cfRule>
  </conditionalFormatting>
  <conditionalFormatting sqref="I20:AC20">
    <cfRule type="expression" rank="0" priority="6" equalAverage="0" aboveAverage="0" dxfId="0" text="" percent="0" bottom="0">
      <formula>AND($G20&lt;&gt;"",$H20&lt;&gt;"",$G20&lt;=I$5+6,$H20&gt;=I$5)</formula>
    </cfRule>
  </conditionalFormatting>
  <conditionalFormatting sqref="I22:AC22">
    <cfRule type="expression" rank="0" priority="7" equalAverage="0" aboveAverage="0" dxfId="0" text="" percent="0" bottom="0">
      <formula>AND($G22&lt;&gt;"",$H22&lt;&gt;"",$G22&lt;=I$5+6,$H22&gt;=I$5)</formula>
    </cfRule>
  </conditionalFormatting>
  <conditionalFormatting sqref="I12:AC12">
    <cfRule type="expression" rank="0" priority="8" equalAverage="0" aboveAverage="0" dxfId="1" text="" percent="0" bottom="0">
      <formula>AND(ISNUMBER($G12),ISNUMBER($H12),$G12&lt;=I$5+6,$H12&gt;=I$5)</formula>
    </cfRule>
  </conditionalFormatting>
  <conditionalFormatting sqref="I16:AC16">
    <cfRule type="expression" rank="0" priority="9" equalAverage="0" aboveAverage="0" dxfId="1" text="" percent="0" bottom="0">
      <formula>AND(ISNUMBER($G16),ISNUMBER($H16),$G16&lt;=I$5+6,$H16&gt;=I$5)</formula>
    </cfRule>
  </conditionalFormatting>
  <conditionalFormatting sqref="I19:AC19">
    <cfRule type="expression" rank="0" priority="10" equalAverage="0" aboveAverage="0" dxfId="1" text="" percent="0" bottom="0">
      <formula>AND(ISNUMBER($G19),ISNUMBER($H19),$G19&lt;=I$5+6,$H19&gt;=I$5)</formula>
    </cfRule>
  </conditionalFormatting>
  <conditionalFormatting sqref="I21:AC21">
    <cfRule type="expression" rank="0" priority="11" equalAverage="0" aboveAverage="0" dxfId="1" text="" percent="0" bottom="0">
      <formula>AND(ISNUMBER($G21),ISNUMBER($H21),$G21&lt;=I$5+6,$H21&gt;=I$5)</formula>
    </cfRule>
  </conditionalFormatting>
  <conditionalFormatting sqref="I23:AC23">
    <cfRule type="expression" rank="0" priority="12" equalAverage="0" aboveAverage="0" dxfId="1" text="" percent="0" bottom="0">
      <formula>AND(ISNUMBER($G23),ISNUMBER($H23),$G23&lt;=I$5+6,$H23&gt;=I$5)</formula>
    </cfRule>
  </conditionalFormatting>
  <conditionalFormatting sqref="I30:AC30">
    <cfRule type="expression" rank="0" priority="13" equalAverage="0" aboveAverage="0" dxfId="1" text="" percent="0" bottom="0">
      <formula>AND(ISNUMBER($G30),ISNUMBER($H30),$G30&lt;=I$5+6,$H30&gt;=I$5)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30" activeCellId="0" sqref="D30"/>
    </sheetView>
  </sheetViews>
  <sheetFormatPr baseColWidth="8" defaultColWidth="8.66796875" defaultRowHeight="15" zeroHeight="0" outlineLevelRow="0"/>
  <cols>
    <col width="6" customWidth="1" style="28" min="1" max="1"/>
    <col width="16" customWidth="1" style="28" min="2" max="2"/>
    <col width="52" customWidth="1" style="28" min="3" max="3"/>
    <col width="24" customWidth="1" style="28" min="4" max="4"/>
    <col width="14" customWidth="1" style="28" min="5" max="5"/>
    <col width="12" customWidth="1" style="28" min="6" max="7"/>
    <col width="8" customWidth="1" style="28" min="8" max="8"/>
    <col width="60" customWidth="1" style="28" min="9" max="9"/>
  </cols>
  <sheetData>
    <row r="1" ht="21" customHeight="1" s="29">
      <c r="A1" s="30" t="inlineStr">
        <is>
          <t>Task Register — locations, access discipline &amp; pivot flags</t>
        </is>
      </c>
    </row>
    <row r="2" ht="15" customHeight="1" s="29">
      <c r="A2" s="49" t="inlineStr">
        <is>
          <t>Access rule: side (a) works use gate (a) exclusively (top-left entrance, lower/green deck); side (b) works use gate (b) exclusively (bottom-right entrance). No material movement over newly laid Millboard. Orange = upper level to summer house (see Decking_plan.pdf).</t>
        </is>
      </c>
    </row>
    <row r="4" ht="15" customHeight="1" s="29">
      <c r="A4" s="34" t="inlineStr">
        <is>
          <t>ID</t>
        </is>
      </c>
      <c r="B4" s="34" t="inlineStr">
        <is>
          <t>Workstream</t>
        </is>
      </c>
      <c r="C4" s="34" t="inlineStr">
        <is>
          <t>Task</t>
        </is>
      </c>
      <c r="D4" s="34" t="inlineStr">
        <is>
          <t>Location</t>
        </is>
      </c>
      <c r="E4" s="34" t="inlineStr">
        <is>
          <t>Access route</t>
        </is>
      </c>
      <c r="F4" s="34" t="inlineStr">
        <is>
          <t>Weather-sensitive</t>
        </is>
      </c>
      <c r="G4" s="34" t="inlineStr">
        <is>
          <t>Rainy-day eligible</t>
        </is>
      </c>
      <c r="H4" s="34" t="inlineStr">
        <is>
          <t>Est. days</t>
        </is>
      </c>
      <c r="I4" s="34" t="inlineStr">
        <is>
          <t>Notes / assumptions</t>
        </is>
      </c>
    </row>
    <row r="5" ht="31.5" customHeight="1" s="29">
      <c r="A5" s="39" t="inlineStr">
        <is>
          <t>1.0</t>
        </is>
      </c>
      <c r="B5" s="39" t="inlineStr">
        <is>
          <t>Site setup</t>
        </is>
      </c>
      <c r="C5" s="40" t="inlineStr">
        <is>
          <t>Garden segregation fencing &amp; site setup</t>
        </is>
      </c>
      <c r="D5" s="39" t="inlineStr">
        <is>
          <t>Garden (both sides)</t>
        </is>
      </c>
      <c r="E5" s="39" t="inlineStr">
        <is>
          <t>n/a</t>
        </is>
      </c>
      <c r="F5" s="39" t="inlineStr">
        <is>
          <t>N</t>
        </is>
      </c>
      <c r="G5" s="39" t="inlineStr">
        <is>
          <t>N</t>
        </is>
      </c>
      <c r="H5" s="39" t="n">
        <v>2</v>
      </c>
      <c r="I5" s="40" t="inlineStr">
        <is>
          <t>Keeps garden usable by family through Summer — working areas fenced, not a building site.</t>
        </is>
      </c>
    </row>
    <row r="6" ht="31.5" customHeight="1" s="29">
      <c r="A6" s="39" t="inlineStr">
        <is>
          <t>1.1</t>
        </is>
      </c>
      <c r="B6" s="39" t="inlineStr">
        <is>
          <t>Scaffolding</t>
        </is>
      </c>
      <c r="C6" s="40" t="inlineStr">
        <is>
          <t>Erect Scaffold A (chimney) + Scaffold B (coping/gutters); discrete decking demolition at footing points</t>
        </is>
      </c>
      <c r="D6" s="39" t="inlineStr">
        <is>
          <t>Roof perimeter, two locations</t>
        </is>
      </c>
      <c r="E6" s="39" t="inlineStr">
        <is>
          <t>n/a</t>
        </is>
      </c>
      <c r="F6" s="39" t="inlineStr">
        <is>
          <t>Y</t>
        </is>
      </c>
      <c r="G6" s="39" t="inlineStr">
        <is>
          <t>N</t>
        </is>
      </c>
      <c r="H6" s="39" t="n">
        <v>2</v>
      </c>
      <c r="I6" s="40" t="inlineStr">
        <is>
          <t>Trevor's team. Fixed: Fri 17 – Sat 18 Jul. Both towers up together; remain until Gate 1 sign-off.</t>
        </is>
      </c>
    </row>
    <row r="7" ht="31.5" customHeight="1" s="29">
      <c r="A7" s="39" t="inlineStr">
        <is>
          <t>1.2</t>
        </is>
      </c>
      <c r="B7" s="39" t="inlineStr">
        <is>
          <t>Chimney</t>
        </is>
      </c>
      <c r="C7" s="40" t="inlineStr">
        <is>
          <t>Cut render back to substrate, fix alignment, re-render</t>
        </is>
      </c>
      <c r="D7" s="39" t="inlineStr">
        <is>
          <t>Chimney (Scaffold A)</t>
        </is>
      </c>
      <c r="E7" s="39" t="inlineStr">
        <is>
          <t>Scaffold A</t>
        </is>
      </c>
      <c r="F7" s="39" t="inlineStr">
        <is>
          <t>Y</t>
        </is>
      </c>
      <c r="G7" s="39" t="inlineStr">
        <is>
          <t>N</t>
        </is>
      </c>
      <c r="H7" s="39" t="n">
        <v>7</v>
      </c>
      <c r="I7" s="40" t="inlineStr">
        <is>
          <t>Render weather-sensitive: no rain, not too hot. Target: complete before 22 Aug — first in queue to protect this.</t>
        </is>
      </c>
    </row>
    <row r="8" ht="15.75" customHeight="1" s="29">
      <c r="A8" s="39" t="inlineStr">
        <is>
          <t>1.3</t>
        </is>
      </c>
      <c r="B8" s="39" t="inlineStr">
        <is>
          <t>Coping stones</t>
        </is>
      </c>
      <c r="C8" s="40" t="inlineStr">
        <is>
          <t>Cut back, lead flashing, replace coping stones, make watertight</t>
        </is>
      </c>
      <c r="D8" s="39" t="inlineStr">
        <is>
          <t>Separate elevation (Scaffold B)</t>
        </is>
      </c>
      <c r="E8" s="39" t="inlineStr">
        <is>
          <t>Scaffold B</t>
        </is>
      </c>
      <c r="F8" s="39" t="inlineStr">
        <is>
          <t>Y</t>
        </is>
      </c>
      <c r="G8" s="39" t="inlineStr">
        <is>
          <t>N</t>
        </is>
      </c>
      <c r="H8" s="39" t="n">
        <v>10</v>
      </c>
      <c r="I8" s="40" t="inlineStr">
        <is>
          <t>Independent scaffold structure from chimney.</t>
        </is>
      </c>
    </row>
    <row r="9" ht="15.75" customHeight="1" s="29">
      <c r="A9" s="39" t="inlineStr">
        <is>
          <t>1.4</t>
        </is>
      </c>
      <c r="B9" s="39" t="inlineStr">
        <is>
          <t>Guttering (back)</t>
        </is>
      </c>
      <c r="C9" s="40" t="inlineStr">
        <is>
          <t>Re-align, lead flashing, clean &amp; tie down hedgehog brushes</t>
        </is>
      </c>
      <c r="D9" s="39" t="inlineStr">
        <is>
          <t>Back of house</t>
        </is>
      </c>
      <c r="E9" s="39" t="inlineStr">
        <is>
          <t>Ladder — BLOCKED until scaffold struck</t>
        </is>
      </c>
      <c r="F9" s="39" t="inlineStr">
        <is>
          <t>Y</t>
        </is>
      </c>
      <c r="G9" s="39" t="inlineStr">
        <is>
          <t>N</t>
        </is>
      </c>
      <c r="H9" s="39" t="n">
        <v>3</v>
      </c>
      <c r="I9" s="40" t="inlineStr">
        <is>
          <t>Scaffold not required for the gutters work itself (ladder access), but comes down first as it's in the way — follows scaffold strike (1.5). Cost coverage confirmed via WhatsApp: included in Luke's roof-work scope, no separate charge. Gutters complete ahead of two things: (1) decking strip-out, either side; (2) coping's remaining 50% invoice (£1,900).</t>
        </is>
      </c>
    </row>
    <row r="10" ht="15.75" customHeight="1" s="29">
      <c r="A10" s="39" t="inlineStr">
        <is>
          <t>1.5</t>
        </is>
      </c>
      <c r="B10" s="39" t="inlineStr">
        <is>
          <t>Scaffolding</t>
        </is>
      </c>
      <c r="C10" s="40" t="inlineStr">
        <is>
          <t>Strike Scaffold A + B</t>
        </is>
      </c>
      <c r="D10" s="39" t="inlineStr">
        <is>
          <t>Both locations</t>
        </is>
      </c>
      <c r="E10" s="39" t="inlineStr">
        <is>
          <t>n/a</t>
        </is>
      </c>
      <c r="F10" s="39" t="inlineStr">
        <is>
          <t>N</t>
        </is>
      </c>
      <c r="G10" s="39" t="inlineStr">
        <is>
          <t>N</t>
        </is>
      </c>
      <c r="H10" s="39" t="n">
        <v>1</v>
      </c>
      <c r="I10" s="40" t="inlineStr">
        <is>
          <t>Only after Gate 1 sign-off (Lara/Neels/Ryan).</t>
        </is>
      </c>
    </row>
    <row r="11" ht="48" customHeight="1" s="29">
      <c r="A11" s="39" t="inlineStr">
        <is>
          <t>2.1</t>
        </is>
      </c>
      <c r="B11" s="39" t="inlineStr">
        <is>
          <t>Drainage (soakaway)</t>
        </is>
      </c>
      <c r="C11" s="40" t="inlineStr">
        <is>
          <t>Partial demolition of existing decking, new pipework off downpipes, reposition existing pipe</t>
        </is>
      </c>
      <c r="D11" s="39" t="inlineStr">
        <is>
          <t>Back garden, side (a)</t>
        </is>
      </c>
      <c r="E11" s="39" t="inlineStr">
        <is>
          <t>Gate (a)</t>
        </is>
      </c>
      <c r="F11" s="39" t="inlineStr">
        <is>
          <t>Y</t>
        </is>
      </c>
      <c r="G11" s="39" t="inlineStr">
        <is>
          <t>N</t>
        </is>
      </c>
      <c r="H11" s="39" t="n">
        <v>5</v>
      </c>
      <c r="I11" s="40" t="inlineStr">
        <is>
          <t>Started 10 Aug (top-layer partial deck removal) — running in parallel with chimney/coping, not gated on scaffold removal (confirmed).</t>
        </is>
      </c>
    </row>
    <row r="12" ht="31.5" customHeight="1" s="29">
      <c r="A12" s="39" t="inlineStr">
        <is>
          <t>2.2</t>
        </is>
      </c>
      <c r="B12" s="39" t="inlineStr">
        <is>
          <t>Decking</t>
        </is>
      </c>
      <c r="C12" s="40" t="inlineStr">
        <is>
          <t>V4 Flooring delivery — 6t+ Millboard &amp; substructure</t>
        </is>
      </c>
      <c r="D12" s="39" t="inlineStr">
        <is>
          <t>Delivery / landing zone</t>
        </is>
      </c>
      <c r="E12" s="39" t="inlineStr">
        <is>
          <t>TBC with Luke</t>
        </is>
      </c>
      <c r="F12" s="39" t="inlineStr">
        <is>
          <t>N</t>
        </is>
      </c>
      <c r="G12" s="39" t="inlineStr">
        <is>
          <t>N</t>
        </is>
      </c>
      <c r="H12" s="39" t="n">
        <v>2</v>
      </c>
      <c r="I12" s="40" t="inlineStr">
        <is>
          <t>PAID IN FULL 9 Jul 2026 (£32,228.99, ref V4FQ-15584). Notify V4 14 calendar days ahead (M1). Landing zone must not breach gate segregation. 25% restocking on over-ordered materials.</t>
        </is>
      </c>
    </row>
    <row r="13" ht="31.5" customHeight="1" s="29">
      <c r="A13" s="39" t="inlineStr">
        <is>
          <t>2.3</t>
        </is>
      </c>
      <c r="B13" s="39" t="inlineStr">
        <is>
          <t>Decking (a)</t>
        </is>
      </c>
      <c r="C13" s="40" t="inlineStr">
        <is>
          <t>Remove existing decking &amp; substructure; install new substructure; lay Millboard per design</t>
        </is>
      </c>
      <c r="D13" s="39" t="inlineStr">
        <is>
          <t>Soakaway side (a) — green lower + share of orange upper</t>
        </is>
      </c>
      <c r="E13" s="39" t="inlineStr">
        <is>
          <t>Gate (a) ONLY</t>
        </is>
      </c>
      <c r="F13" s="39" t="inlineStr">
        <is>
          <t>N</t>
        </is>
      </c>
      <c r="G13" s="39" t="inlineStr">
        <is>
          <t>N</t>
        </is>
      </c>
      <c r="H13" s="39" t="n">
        <v>13</v>
      </c>
      <c r="I13" s="40" t="inlineStr">
        <is>
          <t>Begins only after scaffold removed. Entrance = top-left of green deck on plan.</t>
        </is>
      </c>
    </row>
    <row r="14" ht="31.5" customHeight="1" s="29">
      <c r="A14" s="39" t="inlineStr">
        <is>
          <t>2.4</t>
        </is>
      </c>
      <c r="B14" s="39" t="inlineStr">
        <is>
          <t>Decking (b)</t>
        </is>
      </c>
      <c r="C14" s="40" t="inlineStr">
        <is>
          <t>As 2.3</t>
        </is>
      </c>
      <c r="D14" s="39" t="inlineStr">
        <is>
          <t>Driveway side (b)</t>
        </is>
      </c>
      <c r="E14" s="39" t="inlineStr">
        <is>
          <t>Gate (b) ONLY</t>
        </is>
      </c>
      <c r="F14" s="39" t="inlineStr">
        <is>
          <t>N</t>
        </is>
      </c>
      <c r="G14" s="39" t="inlineStr">
        <is>
          <t>N</t>
        </is>
      </c>
      <c r="H14" s="39" t="n">
        <v>13</v>
      </c>
      <c r="I14" s="40" t="inlineStr">
        <is>
          <t>Entrance = bottom-right of green deck on plan. No crossing over side (a) new boards.</t>
        </is>
      </c>
    </row>
    <row r="15" ht="15.75" customHeight="1" s="29">
      <c r="A15" s="39" t="inlineStr">
        <is>
          <t>2.5</t>
        </is>
      </c>
      <c r="B15" s="39" t="inlineStr">
        <is>
          <t>Decking (bonus)</t>
        </is>
      </c>
      <c r="C15" s="40" t="inlineStr">
        <is>
          <t>Lay offcuts / excess for new BBQ &amp; shed area</t>
        </is>
      </c>
      <c r="D15" s="39" t="inlineStr">
        <is>
          <t>Side (a)</t>
        </is>
      </c>
      <c r="E15" s="39" t="inlineStr">
        <is>
          <t>Gate (a)</t>
        </is>
      </c>
      <c r="F15" s="39" t="inlineStr">
        <is>
          <t>N</t>
        </is>
      </c>
      <c r="G15" s="39" t="inlineStr">
        <is>
          <t>Y</t>
        </is>
      </c>
      <c r="H15" s="39" t="n">
        <v>3</v>
      </c>
      <c r="I15" s="40" t="inlineStr">
        <is>
          <t>Only when decking complete; uses surplus material.</t>
        </is>
      </c>
    </row>
    <row r="16" ht="31.5" customHeight="1" s="29">
      <c r="A16" s="39" t="inlineStr">
        <is>
          <t>3.1</t>
        </is>
      </c>
      <c r="B16" s="39" t="inlineStr">
        <is>
          <t>Driveway channel</t>
        </is>
      </c>
      <c r="C16" s="40" t="inlineStr">
        <is>
          <t>Lift bricks/cobbles, dig waste channel, connect water-softener discharge to natural drainage, reinstate cobbles</t>
        </is>
      </c>
      <c r="D16" s="39" t="inlineStr">
        <is>
          <t>Front driveway</t>
        </is>
      </c>
      <c r="E16" s="39" t="inlineStr">
        <is>
          <t>Front</t>
        </is>
      </c>
      <c r="F16" s="39" t="inlineStr">
        <is>
          <t>N</t>
        </is>
      </c>
      <c r="G16" s="39" t="inlineStr">
        <is>
          <t>Y</t>
        </is>
      </c>
      <c r="H16" s="39" t="n">
        <v>4</v>
      </c>
      <c r="I16" s="40" t="inlineStr">
        <is>
          <t>Active problem — softener currently free-flooding driveway. Prime rainy-day pivot.</t>
        </is>
      </c>
    </row>
    <row r="17" ht="15.75" customHeight="1" s="29">
      <c r="A17" s="39" t="inlineStr">
        <is>
          <t>3.2</t>
        </is>
      </c>
      <c r="B17" s="39" t="inlineStr">
        <is>
          <t>Guttering (front) &amp; tile repairs</t>
        </is>
      </c>
      <c r="C17" s="40" t="inlineStr">
        <is>
          <t>Repair / re-alignment, tile repairs</t>
        </is>
      </c>
      <c r="D17" s="39" t="inlineStr">
        <is>
          <t>Front of house</t>
        </is>
      </c>
      <c r="E17" s="39" t="inlineStr">
        <is>
          <t>Ladder only</t>
        </is>
      </c>
      <c r="F17" s="39" t="inlineStr">
        <is>
          <t>N</t>
        </is>
      </c>
      <c r="G17" s="39" t="inlineStr">
        <is>
          <t>Y</t>
        </is>
      </c>
      <c r="H17" s="39" t="n">
        <v>2</v>
      </c>
      <c r="I17" s="40" t="inlineStr">
        <is>
          <t>No scaffold dependency. Tile repairs confirmed in scope via WhatsApp (10 Aug), same no-separate-charge basis as gutters.</t>
        </is>
      </c>
    </row>
    <row r="18" ht="15.75" customHeight="1" s="29">
      <c r="A18" s="39" t="inlineStr">
        <is>
          <t>3.3</t>
        </is>
      </c>
      <c r="B18" s="39" t="inlineStr">
        <is>
          <t>Fencing</t>
        </is>
      </c>
      <c r="C18" s="40" t="inlineStr">
        <is>
          <t>Fence spurring, side (b) first</t>
        </is>
      </c>
      <c r="D18" s="39" t="inlineStr">
        <is>
          <t>Garden boundary</t>
        </is>
      </c>
      <c r="E18" s="39" t="inlineStr">
        <is>
          <t>Garden</t>
        </is>
      </c>
      <c r="F18" s="39" t="inlineStr">
        <is>
          <t>N</t>
        </is>
      </c>
      <c r="G18" s="39" t="inlineStr">
        <is>
          <t>Y</t>
        </is>
      </c>
      <c r="H18" s="39" t="n">
        <v>3</v>
      </c>
      <c r="I18" s="40" t="inlineStr">
        <is>
          <t>HARD CONSTRAINT: side (b) spurring must complete before decking side (b) begins (2.4) — access otherwise sub-optimal. Rainy-day eligible but with a deadline.</t>
        </is>
      </c>
    </row>
    <row r="19" ht="15.75" customHeight="1" s="29">
      <c r="A19" s="39" t="inlineStr">
        <is>
          <t>3.4</t>
        </is>
      </c>
      <c r="B19" s="39" t="inlineStr">
        <is>
          <t>Fencing</t>
        </is>
      </c>
      <c r="C19" s="40" t="inlineStr">
        <is>
          <t>Tree / bush clearing back to fence boundary — EXTERNAL company</t>
        </is>
      </c>
      <c r="D19" s="39" t="inlineStr">
        <is>
          <t>Garden boundary</t>
        </is>
      </c>
      <c r="E19" s="39" t="inlineStr">
        <is>
          <t>Garden</t>
        </is>
      </c>
      <c r="F19" s="39" t="inlineStr">
        <is>
          <t>N</t>
        </is>
      </c>
      <c r="G19" s="39" t="inlineStr">
        <is>
          <t>Y</t>
        </is>
      </c>
      <c r="H19" s="39" t="n">
        <v>2</v>
      </c>
      <c r="I19" s="40" t="inlineStr">
        <is>
          <t>Outside project scope and budget; details and costs handled separately. Prerequisite for fence relocation (3.5) only.</t>
        </is>
      </c>
    </row>
    <row r="20" ht="31.5" customHeight="1" s="29">
      <c r="A20" s="39" t="inlineStr">
        <is>
          <t>3.5</t>
        </is>
      </c>
      <c r="B20" s="39" t="inlineStr">
        <is>
          <t>Fencing</t>
        </is>
      </c>
      <c r="C20" s="40" t="inlineStr">
        <is>
          <t>Fence relocation — original line (TPO appeal succeeds) or divert around tree (fails)</t>
        </is>
      </c>
      <c r="D20" s="39" t="inlineStr">
        <is>
          <t>Garden boundary</t>
        </is>
      </c>
      <c r="E20" s="39" t="inlineStr">
        <is>
          <t>Garden</t>
        </is>
      </c>
      <c r="F20" s="39" t="inlineStr">
        <is>
          <t>N</t>
        </is>
      </c>
      <c r="G20" s="39" t="inlineStr">
        <is>
          <t>Y</t>
        </is>
      </c>
      <c r="H20" s="39" t="n">
        <v>4</v>
      </c>
      <c r="I20" s="40" t="inlineStr">
        <is>
          <t>Gated on TPO decision (T1, date TBC). Both routes pre-planned.</t>
        </is>
      </c>
    </row>
    <row r="21">
      <c r="A21" s="59" t="inlineStr">
        <is>
          <t>3.7</t>
        </is>
      </c>
      <c r="B21" s="59" t="inlineStr">
        <is>
          <t>Plumbing/drainage</t>
        </is>
      </c>
      <c r="C21" s="60" t="inlineStr">
        <is>
          <t>Investigate and replace leaking house waste pipe beneath chimney</t>
        </is>
      </c>
      <c r="D21" s="59" t="inlineStr">
        <is>
          <t>Beneath chimney, side (a) — same location as Scaffold A and 2.1's deck demo</t>
        </is>
      </c>
      <c r="E21" s="59" t="inlineStr">
        <is>
          <t>Side (a), post-strip-out</t>
        </is>
      </c>
      <c r="F21" s="59" t="inlineStr">
        <is>
          <t>N</t>
        </is>
      </c>
      <c r="G21" s="59" t="inlineStr">
        <is>
          <t>N</t>
        </is>
      </c>
      <c r="H21" s="59" t="inlineStr">
        <is>
          <t>TBC</t>
        </is>
      </c>
      <c r="I21" s="60" t="inlineStr">
        <is>
          <t>Confirmed 10 Aug: chimney = Scaffold A = side (a). Earliest start: scaffold struck (~18 Aug) AND old decking/substructure removed on side (a) (during 2.3 strip-out, ~early Sept). Duration/cost unknown until exposed — contingency-funded.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5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9" activeCellId="0" sqref="E19"/>
    </sheetView>
  </sheetViews>
  <sheetFormatPr baseColWidth="8" defaultColWidth="8.66796875" defaultRowHeight="15" zeroHeight="0" outlineLevelRow="0"/>
  <cols>
    <col width="26" customWidth="1" style="28" min="1" max="1"/>
    <col width="56" customWidth="1" style="28" min="2" max="2"/>
    <col width="12" customWidth="1" style="28" min="3" max="3"/>
    <col width="16" customWidth="1" style="28" min="4" max="4"/>
    <col width="21.67" customWidth="1" style="28" min="5" max="5"/>
    <col width="16" customWidth="1" style="28" min="6" max="6"/>
  </cols>
  <sheetData>
    <row r="1" ht="21" customHeight="1" s="29">
      <c r="A1" s="30" t="inlineStr">
        <is>
          <t>Reference — contacts, rules, assumptions, sign-off log</t>
        </is>
      </c>
    </row>
    <row r="3" ht="15" customHeight="1" s="29">
      <c r="A3" s="31" t="inlineStr">
        <is>
          <t>CONTACTS  (fill in yellow cells — phone / email are placeholders)</t>
        </is>
      </c>
    </row>
    <row r="4" ht="15" customHeight="1" s="29">
      <c r="A4" s="34" t="inlineStr">
        <is>
          <t>Name</t>
        </is>
      </c>
      <c r="B4" s="34" t="inlineStr">
        <is>
          <t>Role</t>
        </is>
      </c>
      <c r="C4" s="34" t="inlineStr">
        <is>
          <t>Team</t>
        </is>
      </c>
      <c r="D4" s="34" t="inlineStr">
        <is>
          <t>Phone</t>
        </is>
      </c>
      <c r="E4" s="34" t="inlineStr">
        <is>
          <t>Email</t>
        </is>
      </c>
    </row>
    <row r="5" ht="30" customHeight="1" s="29">
      <c r="A5" s="50" t="inlineStr">
        <is>
          <t>EXAMPLE — Jane Doe</t>
        </is>
      </c>
      <c r="B5" s="50" t="inlineStr">
        <is>
          <t>Example row — format guide</t>
        </is>
      </c>
      <c r="C5" s="50" t="inlineStr">
        <is>
          <t>—</t>
        </is>
      </c>
      <c r="D5" s="50" t="inlineStr">
        <is>
          <t>07700 900123</t>
        </is>
      </c>
      <c r="E5" s="50" t="inlineStr">
        <is>
          <t>jane.doe@example.com</t>
        </is>
      </c>
    </row>
    <row r="6" ht="15.75" customHeight="1" s="29">
      <c r="A6" s="40" t="inlineStr">
        <is>
          <t>Lara</t>
        </is>
      </c>
      <c r="B6" s="40" t="inlineStr">
        <is>
          <t>Key Decision Maker &amp; Budget Holder</t>
        </is>
      </c>
      <c r="C6" s="40" t="inlineStr">
        <is>
          <t>Family</t>
        </is>
      </c>
      <c r="D6" s="51" t="inlineStr">
        <is>
          <t>07791 528837</t>
        </is>
      </c>
      <c r="E6" s="52" t="inlineStr">
        <is>
          <t>larakriek@gmail.com</t>
        </is>
      </c>
    </row>
    <row r="7" ht="15.75" customHeight="1" s="29">
      <c r="A7" s="40" t="inlineStr">
        <is>
          <t>Neels</t>
        </is>
      </c>
      <c r="B7" s="40" t="inlineStr">
        <is>
          <t>Project management support</t>
        </is>
      </c>
      <c r="C7" s="40" t="inlineStr">
        <is>
          <t>Family</t>
        </is>
      </c>
      <c r="D7" s="51" t="inlineStr">
        <is>
          <t>07880 688027</t>
        </is>
      </c>
      <c r="E7" s="52" t="inlineStr">
        <is>
          <t>neels.kriek@gmail.com</t>
        </is>
      </c>
    </row>
    <row r="8" ht="15.75" customHeight="1" s="29">
      <c r="A8" s="40" t="inlineStr">
        <is>
          <t>Ryan</t>
        </is>
      </c>
      <c r="B8" s="40" t="inlineStr">
        <is>
          <t>Project manager</t>
        </is>
      </c>
      <c r="C8" s="40" t="inlineStr">
        <is>
          <t>Family</t>
        </is>
      </c>
      <c r="D8" s="51" t="inlineStr">
        <is>
          <t>07851 601499</t>
        </is>
      </c>
      <c r="E8" s="52" t="inlineStr">
        <is>
          <t>ryanbishop23@gmail.com</t>
        </is>
      </c>
    </row>
    <row r="9" ht="15.75" customHeight="1" s="29">
      <c r="A9" s="40" t="inlineStr">
        <is>
          <t>Luke</t>
        </is>
      </c>
      <c r="B9" s="40" t="inlineStr">
        <is>
          <t>Chief builder, head of company</t>
        </is>
      </c>
      <c r="C9" s="40" t="inlineStr">
        <is>
          <t>L.G Building and Roofing Ltd</t>
        </is>
      </c>
      <c r="D9" s="51" t="inlineStr">
        <is>
          <t>07799 748123</t>
        </is>
      </c>
      <c r="E9" s="51" t="n"/>
    </row>
    <row r="10" ht="15.75" customHeight="1" s="29">
      <c r="A10" s="40" t="inlineStr">
        <is>
          <t>Ross</t>
        </is>
      </c>
      <c r="B10" s="40" t="inlineStr">
        <is>
          <t>Right-hand man</t>
        </is>
      </c>
      <c r="C10" s="40" t="inlineStr">
        <is>
          <t>L.G Building and Roofing Ltd</t>
        </is>
      </c>
      <c r="D10" s="51" t="n"/>
      <c r="E10" s="51" t="n"/>
    </row>
    <row r="11" ht="15.75" customHeight="1" s="29">
      <c r="A11" s="40" t="inlineStr">
        <is>
          <t>Max</t>
        </is>
      </c>
      <c r="B11" s="40" t="inlineStr">
        <is>
          <t>Right-hand man</t>
        </is>
      </c>
      <c r="C11" s="40" t="inlineStr">
        <is>
          <t>L.G Building and Roofing Ltd</t>
        </is>
      </c>
      <c r="D11" s="51" t="n"/>
      <c r="E11" s="51" t="n"/>
    </row>
    <row r="12" ht="15.75" customHeight="1" s="29">
      <c r="A12" s="40" t="inlineStr">
        <is>
          <t>Roy</t>
        </is>
      </c>
      <c r="B12" s="40" t="inlineStr">
        <is>
          <t>Right-hand man</t>
        </is>
      </c>
      <c r="C12" s="40" t="inlineStr">
        <is>
          <t>L.G Building and Roofing Ltd</t>
        </is>
      </c>
      <c r="D12" s="51" t="n"/>
      <c r="E12" s="51" t="n"/>
    </row>
    <row r="13" ht="15.75" customHeight="1" s="29">
      <c r="A13" s="40" t="inlineStr">
        <is>
          <t>Trevor</t>
        </is>
      </c>
      <c r="B13" s="40" t="inlineStr">
        <is>
          <t>Scaffold team contact</t>
        </is>
      </c>
      <c r="C13" s="40" t="inlineStr">
        <is>
          <t>L.G Building and Roofing Ltd</t>
        </is>
      </c>
      <c r="D13" s="51" t="n"/>
      <c r="E13" s="51" t="n"/>
    </row>
    <row r="14" ht="15.75" customHeight="1" s="29">
      <c r="A14" s="40" t="inlineStr">
        <is>
          <t>V4 Flooring</t>
        </is>
      </c>
      <c r="B14" s="40" t="inlineStr">
        <is>
          <t>Decking materials storage &amp; delivery</t>
        </is>
      </c>
      <c r="C14" s="40" t="inlineStr">
        <is>
          <t>V4 Flooring</t>
        </is>
      </c>
      <c r="D14" s="51" t="inlineStr">
        <is>
          <t>01276 488099</t>
        </is>
      </c>
      <c r="E14" s="51" t="n"/>
    </row>
    <row r="17" ht="15" customHeight="1" s="29">
      <c r="A17" s="31" t="inlineStr">
        <is>
          <t>WORKING RULES</t>
        </is>
      </c>
    </row>
    <row r="18" ht="15" customHeight="1" s="29">
      <c r="A18" s="53" t="inlineStr">
        <is>
          <t>• Work proceeds only if Luke is onsite.</t>
        </is>
      </c>
    </row>
    <row r="19" ht="15" customHeight="1" s="29">
      <c r="A19" s="53" t="inlineStr">
        <is>
          <t>• SUPERSEDED 10 Aug: works now run in PARALLEL (chimney, coping, soakaway simultaneously) — the original one-phase-at-a-time model no longer reflects actual practice.</t>
        </is>
      </c>
    </row>
    <row r="20" ht="15" customHeight="1" s="29">
      <c r="A20" s="53" t="inlineStr">
        <is>
          <t>• Crew planning basis: Luke +1 (conservative). Additional hands = schedule upside, never assumed.</t>
        </is>
      </c>
    </row>
    <row r="21" ht="15" customHeight="1" s="29">
      <c r="A21" s="53" t="inlineStr">
        <is>
          <t>• Working days: Monday–Friday, excluding Luke's holidays and UK bank holidays.</t>
        </is>
      </c>
    </row>
    <row r="22" ht="15" customHeight="1" s="29">
      <c r="A22" s="53" t="inlineStr">
        <is>
          <t>• Luke holidays: 25 Jul – 1 Aug and 22 – 29 Aug 2026. Bank holiday: Mon 31 Aug 2026.</t>
        </is>
      </c>
    </row>
    <row r="23" ht="15" customHeight="1" s="29">
      <c r="A23" s="53" t="inlineStr">
        <is>
          <t>• Stage gates signed off by Lara, Ryan and Neels before the next stage begins.</t>
        </is>
      </c>
    </row>
    <row r="24" ht="15" customHeight="1" s="29">
      <c r="A24" s="53" t="inlineStr">
        <is>
          <t>• Weather rule: if render/roof work is unfavourable (rain, or too hot to render), crew pivots to the rainy-day pool (Phase 3).</t>
        </is>
      </c>
    </row>
    <row r="25" ht="15" customHeight="1" s="29">
      <c r="A25" s="53" t="inlineStr">
        <is>
          <t>• Access discipline: side (a) via gate (a) only; side (b) via gate (b) only. No materials over new Millboard.</t>
        </is>
      </c>
    </row>
    <row r="26" ht="15" customHeight="1" s="29">
      <c r="A26" s="53" t="inlineStr">
        <is>
          <t>• V4 Flooring: notify 2 weeks (14 calendar days) before decking materials are required onsite.</t>
        </is>
      </c>
    </row>
    <row r="28" ht="15" customHeight="1" s="29">
      <c r="A28" s="31" t="inlineStr">
        <is>
          <t>KEY ASSUMPTIONS (open — to be confirmed)</t>
        </is>
      </c>
    </row>
    <row r="29" ht="15" customHeight="1" s="29">
      <c r="A29" s="53" t="inlineStr">
        <is>
          <t>• A1 RESOLVED (10 Aug): scaffold erection found wet ground at the chimney tower — not a soakaway pipe-run obstruction, but evidence suggesting a leaking house waste pipe beneath the chimney. See new finding below.</t>
        </is>
      </c>
    </row>
    <row r="30" ht="15" customHeight="1" s="29">
      <c r="A30" s="28" t="inlineStr">
        <is>
          <t>• NEW (10 Aug): Wet ground beneath chimney scaffold suggests a leaking waste pipe from the house. Investigation can only happen once scaffold is struck AND old decking/substructure removed in that specific area — timing depends on which decking side (a/b) sits beneath the chimney (TBC with Ryan). Cost: contingency-funded, no figure yet.</t>
        </is>
      </c>
    </row>
    <row r="31" ht="15" customHeight="1" s="29">
      <c r="A31" s="53" t="inlineStr">
        <is>
          <t>• A2: All durations are planning estimates pending Luke's review of this v1.</t>
        </is>
      </c>
    </row>
    <row r="32" ht="15" customHeight="1" s="29">
      <c r="A32" s="53" t="inlineStr">
        <is>
          <t>• A3: Decking (a)/(b) split ≈ 2.5 weeks each within the 5-week decking ceiling.</t>
        </is>
      </c>
    </row>
    <row r="33" ht="15" customHeight="1" s="29">
      <c r="A33" s="53" t="inlineStr">
        <is>
          <t>• A4: V4 landing zone to be agreed with Luke without breaching gate segregation.</t>
        </is>
      </c>
    </row>
    <row r="34">
      <c r="A34" s="53" t="inlineStr">
        <is>
          <t>• A5: TPO appeal decision date unknown — fence relocation (3.5) floats until known.</t>
        </is>
      </c>
    </row>
    <row r="35" ht="15" customHeight="1" s="29"/>
    <row r="36" ht="15" customHeight="1" s="29">
      <c r="A36" s="31" t="inlineStr">
        <is>
          <t>STAGE GATE SIGN-OFF LOG</t>
        </is>
      </c>
    </row>
    <row r="37" ht="15" customHeight="1" s="29">
      <c r="A37" s="34" t="inlineStr">
        <is>
          <t>Gate</t>
        </is>
      </c>
      <c r="B37" s="34" t="inlineStr">
        <is>
          <t>Description</t>
        </is>
      </c>
      <c r="C37" s="34" t="inlineStr">
        <is>
          <t>Date signed</t>
        </is>
      </c>
      <c r="D37" s="34" t="inlineStr">
        <is>
          <t>Lara</t>
        </is>
      </c>
      <c r="E37" s="34" t="inlineStr">
        <is>
          <t>Neels</t>
        </is>
      </c>
      <c r="F37" s="34" t="inlineStr">
        <is>
          <t>Ryan</t>
        </is>
      </c>
    </row>
    <row r="38" ht="15" customHeight="1" s="29">
      <c r="A38" s="54" t="inlineStr">
        <is>
          <t>G1</t>
        </is>
      </c>
      <c r="B38" s="54" t="inlineStr">
        <is>
          <t>At-height works (chimney, coping, back gutters) — scaffold may strike</t>
        </is>
      </c>
      <c r="C38" s="55" t="n"/>
      <c r="D38" s="55" t="n"/>
      <c r="E38" s="55" t="n"/>
      <c r="F38" s="55" t="n"/>
    </row>
    <row r="39" ht="15" customHeight="1" s="29">
      <c r="A39" s="54" t="inlineStr">
        <is>
          <t>G2</t>
        </is>
      </c>
      <c r="B39" s="54" t="inlineStr">
        <is>
          <t>Decking side (a) complete</t>
        </is>
      </c>
      <c r="C39" s="55" t="n"/>
      <c r="D39" s="55" t="n"/>
      <c r="E39" s="55" t="n"/>
      <c r="F39" s="55" t="n"/>
    </row>
    <row r="40" ht="15" customHeight="1" s="29">
      <c r="A40" s="54" t="inlineStr">
        <is>
          <t>G3</t>
        </is>
      </c>
      <c r="B40" s="54" t="inlineStr">
        <is>
          <t>Decking side (b) complete</t>
        </is>
      </c>
      <c r="C40" s="55" t="n"/>
      <c r="D40" s="55" t="n"/>
      <c r="E40" s="55" t="n"/>
      <c r="F40" s="55" t="n"/>
    </row>
    <row r="41">
      <c r="A41" s="54" t="inlineStr">
        <is>
          <t>G4</t>
        </is>
      </c>
      <c r="B41" s="54" t="inlineStr">
        <is>
          <t>Project completion — snagging &amp; final sign-off</t>
        </is>
      </c>
      <c r="C41" s="55" t="n"/>
      <c r="D41" s="55" t="n"/>
      <c r="E41" s="55" t="n"/>
      <c r="F41" s="55" t="n"/>
    </row>
    <row r="42" ht="15" customHeight="1" s="29"/>
    <row r="43" ht="15" customHeight="1" s="29">
      <c r="A43" s="31" t="inlineStr">
        <is>
          <t>HOW TO UPDATE THIS WORKBOOK</t>
        </is>
      </c>
    </row>
    <row r="44" ht="15" customHeight="1" s="29">
      <c r="A44" s="53" t="inlineStr">
        <is>
          <t>• Edit only blue-on-yellow cells: task Start/End dates (Gantt), Last updated, contact details, and the sign-off log.</t>
        </is>
      </c>
    </row>
    <row r="45" ht="15" customHeight="1" s="29">
      <c r="A45" s="53" t="inlineStr">
        <is>
          <t>• Gantt bars redraw automatically from Start/End dates — never colour grid cells by hand.</t>
        </is>
      </c>
    </row>
    <row r="46" ht="15" customHeight="1" s="29">
      <c r="A46" s="53" t="inlineStr">
        <is>
          <t>• V4 Phase 1 (V1) and Phase 2 (V2) are fixed/on-request entries, not formulas, since the 10 Aug replan — Phase 1 delivered 12 Aug; Phase 2 ordered on request when needed.</t>
        </is>
      </c>
    </row>
    <row r="47" ht="15" customHeight="1" s="29">
      <c r="A47" s="53" t="inlineStr">
        <is>
          <t>• To activate a floating task: give it Start/End dates and change Status from 'Floating' to 'In progress'.</t>
        </is>
      </c>
    </row>
    <row r="48">
      <c r="A48" s="53" t="inlineStr">
        <is>
          <t>• Status values: Not started / In progress / Complete / Blocked / Floating.</t>
        </is>
      </c>
    </row>
    <row r="49">
      <c r="A49" s="28" t="inlineStr">
        <is>
          <t>• Back gutters &amp; front tile repairs (10 Aug): WhatsApp record predating the written estimates confirms both are included in Luke's overall roof-work scope, no separate charge — resolves the open cost-coverage question. Neither needs a contingency line.</t>
        </is>
      </c>
    </row>
    <row r="50">
      <c r="A50" s="28" t="inlineStr">
        <is>
          <t>• EXCLUDED from Luke's scope (per same WhatsApp): work to the summer house ("out house") at the top deck — Luke made no assessment/notes on it. Distinct from the new decking build (separately quoted, proceeding). Do not assume any summer-house fabric work is covered.</t>
        </is>
      </c>
    </row>
  </sheetData>
  <hyperlinks>
    <hyperlink xmlns:r="http://schemas.openxmlformats.org/officeDocument/2006/relationships" ref="E6" display="larakriek@gmail.com" r:id="rId1"/>
    <hyperlink xmlns:r="http://schemas.openxmlformats.org/officeDocument/2006/relationships" ref="E7" display="neels.kriek@gmail.com" r:id="rId2"/>
    <hyperlink xmlns:r="http://schemas.openxmlformats.org/officeDocument/2006/relationships" ref="E8" display="ryanbishop23@gmail.com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2026-07-13T19:19:38Z</dcterms:created>
  <dcterms:modified xmlns:dcterms="http://purl.org/dc/terms/" xmlns:xsi="http://www.w3.org/2001/XMLSchema-instance" xsi:type="dcterms:W3CDTF">2026-08-10T18:50:00Z</dcterms:modified>
  <cp:lastModifiedBy>Ryan Bishop (rsb1e25)</cp:lastModifiedBy>
  <cp:revision>0</cp:revision>
</cp:coreProperties>
</file>