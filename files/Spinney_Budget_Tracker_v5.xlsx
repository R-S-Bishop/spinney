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Budget vs Actual" sheetId="2" state="visible" r:id="rId4"/>
    <sheet name="Invoicing Schedule" sheetId="3" state="visible" r:id="rId5"/>
    <sheet name="Cost Lines" sheetId="4" state="visible" r:id="rId6"/>
    <sheet name="Invoice Register" sheetId="5" state="visible" r:id="rId7"/>
    <sheet name="Skip Hire Log" sheetId="6" state="visible" r:id="rId8"/>
    <sheet name="Materials Receipts" sheetId="7" state="visible" r:id="rId9"/>
    <sheet name="Contingency Drawdown"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<sst xmlns="http://schemas.openxmlformats.org/spreadsheetml/2006/main" count="631" uniqueCount="378">
  <si>
    <t xml:space="preserve">Spinney External Works — Budget Summary</t>
  </si>
  <si>
    <t xml:space="preserve">Last updated:</t>
  </si>
  <si>
    <t xml:space="preserve">All figures gross (as payable). Invoiced / Paid pull automatically from the Invoice Register; Contingency remaining pulls from the Drawdown sheet.</t>
  </si>
  <si>
    <t xml:space="preserve">Cost centre</t>
  </si>
  <si>
    <t xml:space="preserve">Supplier</t>
  </si>
  <si>
    <t xml:space="preserve">Committed £</t>
  </si>
  <si>
    <t xml:space="preserve">Invoiced £</t>
  </si>
  <si>
    <t xml:space="preserve">Paid £</t>
  </si>
  <si>
    <t xml:space="preserve">Remaining vs committed £</t>
  </si>
  <si>
    <t xml:space="preserve">Notes</t>
  </si>
  <si>
    <t xml:space="preserve">Decking materials</t>
  </si>
  <si>
    <t xml:space="preserve">V4 Wood Flooring Ltd</t>
  </si>
  <si>
    <t xml:space="preserve">Order amended to all Ashwood + flexible bullnose (1 Jul). PAID IN FULL 9 Jul, ref V4FQ-15584. 25% restocking on over-ordering — unlikely given curved design + offcuts project, but noted.</t>
  </si>
  <si>
    <t xml:space="preserve">Decking labour</t>
  </si>
  <si>
    <t xml:space="preserve">LG Building and Roofing Ltd</t>
  </si>
  <si>
    <t xml:space="preserve">Labour £17,600 (no VAT). Stage 1 (£4,400) invoiced/paid 20 Aug, full price. Cash instalment (£2,000, 4 Sep) — CORRECTED: cash payments DO get the 10% discount (same as chimney/coping), retiring £2,222.22 of quoted value. £6,400 cash paid to date, equivalent to £6,622.22 of quoted value — £10,977.78 quoted value remaining. Rubbish removal (£1,200) transferred 10 Aug to pooled skip fund — see that row, not double-counted here.</t>
  </si>
  <si>
    <t xml:space="preserve">Contingency</t>
  </si>
  <si>
    <t xml:space="preserve">—</t>
  </si>
  <si>
    <t xml:space="preserve">Covers: fence move/repair labour; soakaway fix before decking; drainage by garage; extra curved-decking labour; cement &amp; bricks; coping condensation-prep (£250, PAID 14 Aug via bank transfer, INV-0288). Luke's labour drawn from this pot attracts the 10% discount (extended 20 Jul) — note the condensation-prep item was paid by bank transfer, not cash, so discount doesn't apply there. See Contingency Drawdown sheet.</t>
  </si>
  <si>
    <t xml:space="preserve">Chimney repair</t>
  </si>
  <si>
    <t xml:space="preserve">Quoted 2 Jun: £3,200 labour (invoiced full price, INV-0286) + £1,500 scaffold share. Cowl upgrade (£62.90) and TP account materials reclassified out 17 Aug — see Contingency and Materials (pooled) rows. This is now a clean quote-vs-actual labour figure.</t>
  </si>
  <si>
    <t xml:space="preserve">Coping stones repair</t>
  </si>
  <si>
    <t xml:space="preserve">Quoted 3 Jun: £3,800 labour, confirmed 7 Aug as £3,610 blended (50% cash @10% disc. + 50% invoiced) + £1,700 scaffold share. Condensation-prep (£276.42) and TP account materials share (£277.29) reclassified out — see Contingency and Materials (pooled) rows. RISK: coping-stone damage on removal could substantially increase cost.</t>
  </si>
  <si>
    <t xml:space="preserve">Materials (pooled)</t>
  </si>
  <si>
    <t xml:space="preserve">Merchant trade accounts</t>
  </si>
  <si>
    <t xml:space="preserve">Pooled chimney (£480) + coping (£650) materials budget — decision 20 Jul. Purchased via merchant trade accounts (Dry Lining Supplies, Travis Perkins etc.), cleared on receipts. Detail on Materials Receipts sheet.</t>
  </si>
  <si>
    <t xml:space="preserve">Rubbish removal (pooled skips)</t>
  </si>
  <si>
    <t xml:space="preserve">Skip Hire Comparison Ltd / future providers</t>
  </si>
  <si>
    <t xml:space="preserve">Transferred 10 Aug from chimney/coping/decking rubbish-removal quotes (£80+£80+£1,200). Original skip (Skip Hire Comparison Ltd) cancelled 11 Aug, refunded — replaced same-day by Elmbridge Mini Skips (2 skips, £780 total, settled 12 Aug). Provisional — more skips expected, especially during decking. Detail on Skip Hire Log sheet.</t>
  </si>
  <si>
    <t xml:space="preserve">Roofline works</t>
  </si>
  <si>
    <t xml:space="preserve">NEW 8 Sep — separate estimate, sent 4 Sep but only received/discussed 4 Sep, confirmed start end of this week or next week. Own scope, own budget, distinct from the earlier 'gutters included in Luke's price' arrangement (1.5, 3.2) — gutter replacement (not just realignment), fascia/soffit extension, slate replacement, barge board trim. £1,600 labour (no VAT) + £150 scaffold tower (paid directly) + £350 materials (paid directly) = £2,100. £40 rubbish removal reclassified to the pooled Rubbish removal fund, avoiding double-counting.</t>
  </si>
  <si>
    <t xml:space="preserve">Core project (Luke's ~£56,800 outline)</t>
  </si>
  <si>
    <t xml:space="preserve">Chimney + coping incl. pooled materials</t>
  </si>
  <si>
    <t xml:space="preserve">PROJECT TOTAL</t>
  </si>
  <si>
    <t xml:space="preserve">Contingency remaining:</t>
  </si>
  <si>
    <t xml:space="preserve">Spinney External Works — Budget vs Actual</t>
  </si>
  <si>
    <t xml:space="preserve">Snapshot as of 4 Sep 2026 (Week 8) — refresh narrative each batched update session; table figures pull from Summary sheet.</t>
  </si>
  <si>
    <t xml:space="preserve">Snapshot</t>
  </si>
  <si>
    <t xml:space="preserve">Week 8 — overall, still on plan, with one genuine new addition: a separate roofline works estimate (£2,100, after reclassifying its £40 rubbish line into the pooled fund) has surfaced, own scope and own budget, pushing PROJECT TOTAL to £69,428.99. Chimney and coping remain fully complete and settled (Gate 1 cleared 18 Aug). Decking is the active workstream: substructure under way on both sides plus the new shed area, the chimney pipe scare resolved with no cost, and labour payments tracking to quote once the cash discount is correctly applied. Materials pool is back under cap. Contingency now has four genuine draws (plus two more pending) but is still comfortably under its £5,000 cap. Nothing here suggests a budget problem.</t>
  </si>
  <si>
    <t xml:space="preserve">• Chimney</t>
  </si>
  <si>
    <t xml:space="preserve">COMPLETE (Gate 1, 18 Aug) — £0 variance, labour invoiced at the full quoted £3,200, no discount applied (non-cash terms).</t>
  </si>
  <si>
    <t xml:space="preserve">• Coping</t>
  </si>
  <si>
    <t xml:space="preserve">COMPLETE (Gate 1, 18 Aug) — £190 UNDER quote, half the labour was settled in cash at the agreed 10% discount, the other half invoiced at full price.</t>
  </si>
  <si>
    <t xml:space="preserve">• Decking (labour + V4 materials)</t>
  </si>
  <si>
    <t xml:space="preserve">Materials fully paid to the V4 proforma exactly. Labour: Stage 1 (£4,400) invoiced full price, plus a £2,000 cash instalment (4 Sep, 10% discount applies, retiring £2,222.22 of quoted value) — £6,622.22 quoted-value equivalent paid so far, £10,977.78 remaining across future stages.</t>
  </si>
  <si>
    <t xml:space="preserve">• Scaffold (pooled, chimney + coping combined)</t>
  </si>
  <si>
    <t xml:space="preserve">£0 variance — this was never split-quoted per workstream, just one £3,200 job (£2,000 paid on erection, £1,200 due on strike). Treating it as its own pooled line avoids implying a false per-workstream comparison.</t>
  </si>
  <si>
    <t xml:space="preserve">• Materials (pooled, chimney + coping)</t>
  </si>
  <si>
    <t xml:space="preserve">Back under the £1,130 cap — a £72.23 refund from Dry Lining Supplies (unused monocouche + other returned items) landed 19 Aug, more than offsetting the earlier £62.90 overage from pooling Luke's Travis Perkins account purchases.</t>
  </si>
  <si>
    <t xml:space="preserve">• Rubbish removal (pooled, all 3 workstreams)</t>
  </si>
  <si>
    <t xml:space="preserve">£780 spent of £1,360 so far — looks healthy, but this needs a caveat: decking's £1,200 share (88% of the pool) hasn't been tested yet, and the two skips used so far carried spoil from chimney, coping, AND the soakaway/decking-prep groundworks, not cleanly attributable to any one workstream.</t>
  </si>
  <si>
    <t xml:space="preserve">• Roofline works (new)</t>
  </si>
  <si>
    <t xml:space="preserve">Estimate surfaced 4 Sep (sent same day, only discussed/received 4 Sep) — £2,100 total: £1,600 labour + £150 scaffold tower + £350 materials, all paid directly. £40 rubbish removal reclassified to the pooled Rubbish removal fund, avoiding double-counting. Own scope, own budget, distinct from the earlier 'gutters included in Luke's price' understanding — worth confirming with Luke whether this supersedes or adds to that. Start confirmed 8 Sep: end of this week or next.</t>
  </si>
  <si>
    <t xml:space="preserve">• Contingency</t>
  </si>
  <si>
    <t xml:space="preserve">£480.98 drawn of the £5,000 pot (condensation-prep £276.42 + chimney cowl upgrade £62.90 + V4 screw top-up £141.66) — £4,519.02 remaining. All three are genuine scope additions beyond the original quotes, which is exactly what this pot is for.</t>
  </si>
  <si>
    <t xml:space="preserve">Budget vs Actual — detail</t>
  </si>
  <si>
    <t xml:space="preserve">Quote / Budget £</t>
  </si>
  <si>
    <t xml:space="preserve">Actual £</t>
  </si>
  <si>
    <t xml:space="preserve">Variance £</t>
  </si>
  <si>
    <t xml:space="preserve">Note</t>
  </si>
  <si>
    <t xml:space="preserve">Chimney (labour)</t>
  </si>
  <si>
    <t xml:space="preserve">Invoiced full price (INV-0286) — non-cash, no discount</t>
  </si>
  <si>
    <t xml:space="preserve">Coping (labour)</t>
  </si>
  <si>
    <t xml:space="preserve">50% cash @10% disc. + 50% invoiced — favourable</t>
  </si>
  <si>
    <t xml:space="preserve">Decking (labour)</t>
  </si>
  <si>
    <t xml:space="preserve">Stage 1 (£4,400, invoiced, full price) + cash instalment (£2,000, 10% discount, retires £2,222.22 of quoted value) — £10,977.78 quoted value remaining, mix of future cash/invoice TBC.</t>
  </si>
  <si>
    <t xml:space="preserve">Decking materials (V4)</t>
  </si>
  <si>
    <t xml:space="preserve">Proforma matched exactly, paid in full 9 Jul</t>
  </si>
  <si>
    <t xml:space="preserve">Scaffold (pooled, chimney+coping)</t>
  </si>
  <si>
    <t xml:space="preserve">Never split-quoted — one combined job. £2,000 paid, £1,200 due on strike</t>
  </si>
  <si>
    <t xml:space="preserve">Materials (pooled, chimney+coping)</t>
  </si>
  <si>
    <t xml:space="preserve">Back under the £1,130 cap after a £72.23 refund from Dry Lining Supplies (unused monocouche + other returned items) landed 19 Aug — was £62.92 over before the refund.</t>
  </si>
  <si>
    <t xml:space="preserve">Rubbish removal (pooled, all 3 workstreams)</t>
  </si>
  <si>
    <t xml:space="preserve">Decking's £1,200 share largely untested — see snapshot caveat</t>
  </si>
  <si>
    <t xml:space="preserve">Roofline works (new, 4 Sep estimate)</t>
  </si>
  <si>
    <t xml:space="preserve">New scope, own budget — gutters, fascia/soffit, slates, barge boards. £40 rubbish removal reclassified to the pooled Rubbish removal fund. Not yet started or invoiced; quote used as placeholder actual until real costs land.</t>
  </si>
  <si>
    <t xml:space="preserve">£480.98 drawn (condensation-prep £276.42 + chimney cowl £62.90 + V4 screw top-up £141.66) — £4,519.02 remaining. Variance here just means 'not yet drawn', not a saving.</t>
  </si>
  <si>
    <t xml:space="preserve">TOTAL (as spent/committed to date)</t>
  </si>
  <si>
    <t xml:space="preserve">Reconciliation check</t>
  </si>
  <si>
    <t xml:space="preserve">Summary's PROJECT TOTAL uses each cost centre's committed/ceiling figure — for Chimney, Coping, and Decking that's the real actual; for Materials, Rubbish, and Contingency (all pooled/reserve buckets) it's the provisional cap, not what's been spent so far. Recomputed on that same basis below to confirm nothing here is missing or double-counted against Summary.</t>
  </si>
  <si>
    <t xml:space="preserve">  Chimney (actual)</t>
  </si>
  <si>
    <t xml:space="preserve">  Coping (actual)</t>
  </si>
  <si>
    <t xml:space="preserve">  Decking labour (actual)</t>
  </si>
  <si>
    <t xml:space="preserve">  Decking materials (actual)</t>
  </si>
  <si>
    <t xml:space="preserve">  Materials pooled (at £1,130 cap, per Summary)</t>
  </si>
  <si>
    <t xml:space="preserve">  Rubbish removal pooled (at £1,360 cap, per Summary)</t>
  </si>
  <si>
    <t xml:space="preserve">  Contingency (at £5,000 cap, per Summary)</t>
  </si>
  <si>
    <t xml:space="preserve">  Roofline works (actual, per estimate)</t>
  </si>
  <si>
    <t xml:space="preserve">Recomputed total (Summary basis)</t>
  </si>
  <si>
    <t xml:space="preserve">Summary PROJECT TOTAL (committed)</t>
  </si>
  <si>
    <t xml:space="preserve">Difference — should be £0.00</t>
  </si>
  <si>
    <t xml:space="preserve">Invoicing Schedule — expected invoice events</t>
  </si>
  <si>
    <t xml:space="preserve">Terms: 10% labour discount on all Luke phases except decking labour and scaffolding. Chimney &amp; coping settle as SINGLE CASH PAYMENTS on phase completion (agreed Lara/Ryan 20 Jul; TBC with Luke 21 Jul). Log every payment on the Invoice Register — this sheet is expectations, the Register is the record.</t>
  </si>
  <si>
    <t xml:space="preserve">#</t>
  </si>
  <si>
    <t xml:space="preserve">Trigger event</t>
  </si>
  <si>
    <t xml:space="preserve">Payee</t>
  </si>
  <si>
    <t xml:space="preserve">Basis</t>
  </si>
  <si>
    <t xml:space="preserve">Est. £</t>
  </si>
  <si>
    <t xml:space="preserve">Status</t>
  </si>
  <si>
    <t xml:space="preserve">Order placed — PAID IN FULL 9 Jul</t>
  </si>
  <si>
    <t xml:space="preserve">Invoice V4FQ-15584</t>
  </si>
  <si>
    <t xml:space="preserve">Paid</t>
  </si>
  <si>
    <t xml:space="preserve">Chimney + Coping (scaffold)</t>
  </si>
  <si>
    <t xml:space="preserve">Erection complete (17–18 Jul) — PAID</t>
  </si>
  <si>
    <t xml:space="preserve">Scaffolder (via Trevor)</t>
  </si>
  <si>
    <t xml:space="preserve">£2,000 cash (of £3,200 combined)</t>
  </si>
  <si>
    <t xml:space="preserve">Logged in Register: £937.50 chimney + £1,062.50 coping</t>
  </si>
  <si>
    <t xml:space="preserve">Strike, after Gate 1 sign-off</t>
  </si>
  <si>
    <t xml:space="preserve">£1,200 cash balance on strike</t>
  </si>
  <si>
    <t xml:space="preserve">Agreed</t>
  </si>
  <si>
    <t xml:space="preserve">Log in Register: £562.50 chimney + £637.50 coping</t>
  </si>
  <si>
    <t xml:space="preserve">INVOICED &amp; PAID 24 Jul (non-cash)</t>
  </si>
  <si>
    <t xml:space="preserve">£3,200 labour less £111.70 prepaid = £3,088.30. Full price — no discount.</t>
  </si>
  <si>
    <t xml:space="preserve">£3,200 labour invoiced &amp; paid 24 Jul (£3,088.30 after £111.70 prepayment deduction). Rubbish removal (£80) transferred 10 Aug to pooled skip fund — no longer owed to Luke.</t>
  </si>
  <si>
    <t xml:space="preserve">50% CASH — PAID 7 Aug</t>
  </si>
  <si>
    <t xml:space="preserve">50% of base labour (£1,710.00), 10% cash discount. Based on original £3,800 quote only.</t>
  </si>
  <si>
    <t xml:space="preserve">Excludes condensation-prep addition — price not yet finalised (see separate row).</t>
  </si>
  <si>
    <t xml:space="preserve">50% INVOICED — due next week</t>
  </si>
  <si>
    <t xml:space="preserve">50% of base labour (£1,900.00) full price. Rubbish removal transferred to pooled skip fund 10 Aug.</t>
  </si>
  <si>
    <t xml:space="preserve">Paid 14 Aug</t>
  </si>
  <si>
    <t xml:space="preserve">INVOICED 13 Aug as part of Luke's INV-0288 (£2,150 total, due 14 Aug) — that invoice also includes the £250 condensation-prep item, now tracked separately under Contingency. No longer includes rubbish removal — see Rubbish removal (pooled skips) row.</t>
  </si>
  <si>
    <t xml:space="preserve">Additional scope — condensation-escape prep (price TBC)</t>
  </si>
  <si>
    <t xml:space="preserve">Combined labour + materials, Luke's estimate — price NOT yet finalised</t>
  </si>
  <si>
    <t xml:space="preserve">RECLASSIFIED: priced at £250, invoiced as part of Luke's INV-0288 (£2,150 total, 13 Aug), paid 14 Aug via bank transfer. Tracked as Contingency named purpose #6 — Est.£ shown as £0 here since it's a draw FROM the £5,000 pot (row 14), not additional money on top of it.</t>
  </si>
  <si>
    <t xml:space="preserve">Stage 1 (25%, INV-0289) PAID 20 Aug — 4 stages confirmed, flat 25% each</t>
  </si>
  <si>
    <t xml:space="preserve">£17,600 labour total across stages, at quoted rates. CORRECTED 4 Sep: cash payments DO get the 10% discount (same as chimney/coping) — only invoiced stages are full price. Rubbish removal transferred to pooled skip fund.</t>
  </si>
  <si>
    <t xml:space="preserve">Stage 1 paid, 25% down</t>
  </si>
  <si>
    <t xml:space="preserve">Stage 1 (£4,400) invoiced/paid 20 Aug, full price. Cash top-up (£2,000, 4 Sep) retires £2,222.22 of quoted value at the 10% discount. Remaining quoted value: £10,977.78. Exact milestone triggers for future stages still TBC.</t>
  </si>
  <si>
    <t xml:space="preserve">Periodic — on receipts</t>
  </si>
  <si>
    <t xml:space="preserve">Merchant trade accounts (Dry Lining Supplies, TP etc.)</t>
  </si>
  <si>
    <t xml:space="preserve">Pooled £1,130 budget (chimney £480 + coping £650)</t>
  </si>
  <si>
    <t xml:space="preserve">Agreed in principle</t>
  </si>
  <si>
    <t xml:space="preserve">Log each receipt in Register + Materials Receipts sheet</t>
  </si>
  <si>
    <t xml:space="preserve">Rainy-day tasks 100% on completion; named extras as incurred</t>
  </si>
  <si>
    <t xml:space="preserve">LG Building / merchants</t>
  </si>
  <si>
    <t xml:space="preserve">£5,000 pot — fence labour, soakaway fix, garage drainage, curved-deck extras, cement &amp; bricks. Labour at 10% discount</t>
  </si>
  <si>
    <t xml:space="preserve">Approved 20 Jul — first draw 14 Aug</t>
  </si>
  <si>
    <t xml:space="preserve">Curved-decking extra labour discount TBC. First draw: coping condensation-prep (£250, named purpose #6), paid 14 Aug via bank transfer, INV-0288. £4,750 of the £5,000 pot remaining. Each drawdown also on Contingency Drawdown sheet.</t>
  </si>
  <si>
    <t xml:space="preserve">Additional material — stainless steel cowl</t>
  </si>
  <si>
    <t xml:space="preserve">StoveWorldUK (paid direct, project account)</t>
  </si>
  <si>
    <t xml:space="preserve">Order #147399, 10 Aug 2026</t>
  </si>
  <si>
    <t xml:space="preserve">5" stainless steel chimney pot hanger cowl — replaces original spec (decision logged 7 Aug), prevents rusting. Contingency named purpose #7 — Est.£ shown as £0 here since it's a draw FROM the £5,000 pot (row 14), not additional money on top of it. Actually paid: £62.90 (see Invoice Register).</t>
  </si>
  <si>
    <t xml:space="preserve">Periodic — as skips are needed</t>
  </si>
  <si>
    <t xml:space="preserve">Provisional £1,360 (transferred from chimney/coping/decking rubbish quotes)</t>
  </si>
  <si>
    <t xml:space="preserve">Approved 10 Aug</t>
  </si>
  <si>
    <t xml:space="preserve">First skip £344.16 paid 10 Aug, delivery 11 Aug. More skips expected during decking — budget is provisional, watch like the materials pool. Log each skip in Register + Skip Hire Log sheet.</t>
  </si>
  <si>
    <t xml:space="preserve">New scope, own budget — estimate 4 Sep, start confirmed 8 Sep (end of this week or next)</t>
  </si>
  <si>
    <t xml:space="preserve">£1,600 labour (no VAT) + £150 scaffold tower + £350 materials, all paid directly per the estimate. Total £2,100. £40 rubbish removal reclassified to the pooled Rubbish removal fund (avoiding double-counting).</t>
  </si>
  <si>
    <t xml:space="preserve">Not started</t>
  </si>
  <si>
    <t xml:space="preserve">Distinct from the earlier 'gutters included in Luke's price' understanding for tasks 1.5/3.2 — confirm with Luke whether this supersedes that or is genuinely additional scope.</t>
  </si>
  <si>
    <t xml:space="preserve">Schedule Total:</t>
  </si>
  <si>
    <t xml:space="preserve">Summary tab committed total:</t>
  </si>
  <si>
    <t xml:space="preserve">Difference (must be £0.00):</t>
  </si>
  <si>
    <t xml:space="preserve">Cost Lines — every line item from LG estimates and the V4 invoice</t>
  </si>
  <si>
    <t xml:space="preserve">Source documents: LG chimney estimate 2 Jun 2026 · LG coping estimate 3 Jun 2026 · LG decking estimate 3 Jun 2026 · V4 invoice V4FQ-15584, 9 Jul 2026.</t>
  </si>
  <si>
    <t xml:space="preserve">Line item</t>
  </si>
  <si>
    <t xml:space="preserve">Qty</t>
  </si>
  <si>
    <t xml:space="preserve">Unit £</t>
  </si>
  <si>
    <t xml:space="preserve">Line total £</t>
  </si>
  <si>
    <t xml:space="preserve">VAT</t>
  </si>
  <si>
    <t xml:space="preserve">Payment route</t>
  </si>
  <si>
    <t xml:space="preserve">LG Building</t>
  </si>
  <si>
    <t xml:space="preserve">Labour — remove render, k-rend sealer, base + top coat, render crown, storm-dry cream</t>
  </si>
  <si>
    <t xml:space="preserve">No VAT</t>
  </si>
  <si>
    <t xml:space="preserve">LG invoice</t>
  </si>
  <si>
    <t xml:space="preserve">INVOICED 24 Jul (INV-0286), full price £3,200 less £111.70 prepaid = £3,088.30. Non-cash, so 10% discount does not apply. Rubbish removal £80 outstanding.</t>
  </si>
  <si>
    <t xml:space="preserve">Scaffolder (direct)</t>
  </si>
  <si>
    <t xml:space="preserve">Tubular scaffolding — all four sides of chimney and crown</t>
  </si>
  <si>
    <t xml:space="preserve">Inc VAT</t>
  </si>
  <si>
    <t xml:space="preserve">Paid directly</t>
  </si>
  <si>
    <t xml:space="preserve">Combined £3,200, cash terms (20 Jul): £2,000 paid following erection; £1,200 balance on strike.</t>
  </si>
  <si>
    <t xml:space="preserve">Materials (chimney estimate — pooled 20 Jul)</t>
  </si>
  <si>
    <t xml:space="preserve">Trade accounts — cleared on receipts</t>
  </si>
  <si>
    <t xml:space="preserve">Rubbish removal</t>
  </si>
  <si>
    <t xml:space="preserve">TRANSFERRED 10 Aug to pooled Rubbish removal (skips) fund — family now supplies skips directly rather than Luke arranging disposal. No longer owed to Luke.</t>
  </si>
  <si>
    <t xml:space="preserve">Labour — remove/reset copings, slate cap, render, lead flashings to parapet rear</t>
  </si>
  <si>
    <t xml:space="preserve">CONFIRMED 7 Aug, based on original £3,800 quote: 50% cash (£1710.00 @ 10% discount) due same day, 50% invoiced (£1900.00 full price) due next week, timed after back gutters are complete — see Invoicing Schedule. RISK: coping-stone damage on removal could substantially increase cost. Condensation-prep addition (£250) reclassified to Contingency 13 Aug — no longer part of this total.</t>
  </si>
  <si>
    <t xml:space="preserve">Tubular scaffolding with winch system</t>
  </si>
  <si>
    <t xml:space="preserve">Materials (coping estimate — pooled 20 Jul)</t>
  </si>
  <si>
    <t xml:space="preserve">TRANSFERRED 10 Aug to pooled Rubbish removal (skips) fund. Removed from next week's invoice (now £1,900, not £1,980).</t>
  </si>
  <si>
    <t xml:space="preserve">Labour — remove old decking &amp; frame, construct composite frame, install deck to spec</t>
  </si>
  <si>
    <t xml:space="preserve">RISK: pending structure/ground assessment. CORRECTED 4 Sep: cash payments DO get the 10% discount (same as chimney/coping) — only invoiced stages are full price. Progress: Stage 1 (£4,400) invoiced 20 Aug + £2,000 cash instalment 4 Sep (retires £2,222.22 of quoted value) — £6,400 cash paid to date, equivalent to £6,622.22 of quoted value — £10,977.78 quoted value remaining.</t>
  </si>
  <si>
    <t xml:space="preserve">Rubbish removal (8-yard skips ×2, possibly 3)</t>
  </si>
  <si>
    <t xml:space="preserve">TRANSFERRED 10 Aug to pooled Rubbish removal (skips) fund.</t>
  </si>
  <si>
    <t xml:space="preserve">V4 Wood Flooring</t>
  </si>
  <si>
    <t xml:space="preserve">Millboard Ashwood 176mm Moulded Lastane (144.90 m²)</t>
  </si>
  <si>
    <t xml:space="preserve">In net</t>
  </si>
  <si>
    <t xml:space="preserve">V4 invoice — PAID</t>
  </si>
  <si>
    <t xml:space="preserve">Millboard Ashwood Moulded Lastane — MFN360H</t>
  </si>
  <si>
    <t xml:space="preserve">Millboard Ashwood Moulded Lastane — MEBB360H (flexible bullnose)</t>
  </si>
  <si>
    <t xml:space="preserve">For curved upper level</t>
  </si>
  <si>
    <t xml:space="preserve">Millboard Step Edge — Ashwood Moulded Lastane</t>
  </si>
  <si>
    <t xml:space="preserve">Stainless steel screws 45mm — boxes</t>
  </si>
  <si>
    <t xml:space="preserve">Durafix Trimhead 35mm SS screws — box of 100 (FT35P100)</t>
  </si>
  <si>
    <t xml:space="preserve">Plas-Pro bearer/joist black 3.0m 50×125mm composite (P1205B300)</t>
  </si>
  <si>
    <t xml:space="preserve">Subframe — the bulk of the tonnage</t>
  </si>
  <si>
    <t xml:space="preserve">Subframe hexhead screws — box of 50 (FH90P050)</t>
  </si>
  <si>
    <t xml:space="preserve">Original 16 boxes delivered in full, confirmed 12 Aug. TOP-UP REQUESTED 20 Aug: Luke has asked for 15 more boxes (same item, FH90P050) — substructure screw consumption running ahead of the original estimate. Not yet ordered/invoiced. Estimated cost £141.66 inc VAT (15 x £7.87 + 20% VAT, matching original per-unit price) — treat as V4 Phase 3 once ordered. Not yet added to committed total.</t>
  </si>
  <si>
    <t xml:space="preserve">Millboard touch-up paint — Ashwood (AP500H)</t>
  </si>
  <si>
    <t xml:space="preserve">Millboard multi-spacer — pack of 10 (FP36P010)</t>
  </si>
  <si>
    <t xml:space="preserve">VAT on order</t>
  </si>
  <si>
    <t xml:space="preserve">Net £26,857.49 + VAT = £32,228.99</t>
  </si>
  <si>
    <t xml:space="preserve">TBC</t>
  </si>
  <si>
    <t xml:space="preserve">Contingency pot — fence labour, garage drainage, curved-deck labour, cement &amp; bricks, coping condensation-prep (£250, reclassified 13 Aug). Soakaway fix cancelled 1 Sep, nothing drawn. Pipe investigation resolved 4 Sep — no leak, no repair needed, no draw required.</t>
  </si>
  <si>
    <t xml:space="preserve">As incurred</t>
  </si>
  <si>
    <t xml:space="preserve">Track on Contingency Drawdown sheet. Labour invoices from this pot at 10% discount (extended 20 Jul); materials (cement/bricks) full price. Curved-decking extra labour: discount status TBC with Luke. Coping condensation-prep (£250) added as named purpose #6, 13 Aug — payment method (cash vs invoice) pending confirmation.</t>
  </si>
  <si>
    <t xml:space="preserve">Named purpose #6 — Coping condensation-escape prep: re-bed 3 bricks; reinforce parapet corners with fibreglass mesh; fit 4 weep holes to front face above internal damp-course membrane (slate DPC capped in plastic DPM). Reclassified from Coping 13 Aug — same item, moved to keep coping's committed total accurate rather than inflate it.</t>
  </si>
  <si>
    <t xml:space="preserve">Contingency drawdown</t>
  </si>
  <si>
    <t xml:space="preserve">PRICED 13 Aug via Luke's invoice INV-0288: £250. Terms originally agreed as 100% cash; confirmed 14 Aug instead paid via bank transfer, bundled with the coping £1,900 balance. PAID 14 Aug.</t>
  </si>
  <si>
    <t xml:space="preserve">StoveWorldUK</t>
  </si>
  <si>
    <t xml:space="preserve">Named purpose #7 — Chimney cowl upgrade: 5" Stainless Steel Chimney Pot Hanger Cowl (order #147399), replaces original spec</t>
  </si>
  <si>
    <t xml:space="preserve">Paid direct by Ryan (project account)</t>
  </si>
  <si>
    <t xml:space="preserve">Decision logged 7 Aug (stainless steel, prevent rusting). Cost finalised 10 Aug, received 12 Aug, fitted 17 Aug. RECLASSIFIED 17 Aug from Chimney to Contingency — genuine scope addition beyond the original quote, same treatment as coping condensation-prep (#6). Paid direct by Ryan.</t>
  </si>
  <si>
    <t xml:space="preserve">LG Building and Roofing Ltd (Travis Perkins account)</t>
  </si>
  <si>
    <t xml:space="preserve">Luke's Travis Perkins account materials, 3 invoices 17 Jul-5 Aug (render/masonry consumables + lead flashing) — pooled with chimney+coping materials, same simplified treatment as Dry Lining Supplies.</t>
  </si>
  <si>
    <t xml:space="preserve">Reimbursement to Luke</t>
  </si>
  <si>
    <t xml:space="preserve">SIMPLIFIED 18 Aug: previously split chimney/coping 50/50 — now pooled as one line, consistent with how Dry Lining Supplies purchases were always treated (not split by workstream). DPC roll (£26.42) stays separately in Contingency (purpose #6, condensation-prep) as it's additional scope, not pool materials.</t>
  </si>
  <si>
    <t xml:space="preserve">(merged into row above, 18 Aug)</t>
  </si>
  <si>
    <t xml:space="preserve">RECLASSIFIED 17 Aug: lead flashing reattributed from chimney to coping (original quote explicitly scopes 'lead flashings to parapet rear' under coping's labour). Both items within originally-quoted scope, so routed through Materials pool per agreed rule rather than Coping's own Cost Lines.</t>
  </si>
  <si>
    <t xml:space="preserve">Named purpose #8 — V4 screw top-up: 15 more boxes of Timberfix structural subframe screws (FH90P050), quote V4FQ-17702</t>
  </si>
  <si>
    <t xml:space="preserve">Bank transfer</t>
  </si>
  <si>
    <t xml:space="preserve">Requested by Luke 20 Aug, ordered 24 Aug, PAID. Substructure screw consumption ran ahead of the original 16-box estimate. Same item/supplier as the original V4 order, but treated as an additional-scope purchase per Ryan's direction — routed through Contingency rather than inflating the Decking materials (V4) line, which stays matched to its original proforma.</t>
  </si>
  <si>
    <t xml:space="preserve">Named purpose #9 — V4 screw top-up #2: 15 more boxes of Timberfix structural subframe screws (FH90P050), separate order from purpose #8</t>
  </si>
  <si>
    <t xml:space="preserve">Estimate</t>
  </si>
  <si>
    <t xml:space="preserve">Ordered, not yet invoiced</t>
  </si>
  <si>
    <t xml:space="preserve">Ordered 5 Sep (confirmed 6 Sep) — 15 boxes at £7.87/box, same unit price as purpose #8. Estimated £141.66 inc VAT (matching purpose #8's actual invoice pattern: 15 x £7.87 = £118.05 net + 20% VAT). Not yet paid — actual invoice will confirm. Pipe investigation (previously earmarked #9) resolved 4 Sep with no draw needed, freeing this slot.</t>
  </si>
  <si>
    <t xml:space="preserve">Plant hire company (TBC)</t>
  </si>
  <si>
    <t xml:space="preserve">Named purpose #10 — digger + barrow loader hire, one week (on hire until Thu 10 Sep). Mixed purpose: excavation for decking widening, side (a), AND new shed area, perpendicular to side (a)</t>
  </si>
  <si>
    <t xml:space="preserve">On hire, not yet invoiced</t>
  </si>
  <si>
    <t xml:space="preserve">8 Sep: digger on hire until Thursday, used for both the side (a) decking excavation and the new shed area excavation. Cost is an estimate ("should be about £530") — actual invoice will confirm. Genuinely mixed-purpose, doesn't cleanly split between the two uses.</t>
  </si>
  <si>
    <t xml:space="preserve">TBC (cash)</t>
  </si>
  <si>
    <t xml:space="preserve">Old decking substructure wood collection — £350 cash, collection expected this week</t>
  </si>
  <si>
    <t xml:space="preserve">Cash (pending)</t>
  </si>
  <si>
    <t xml:space="preserve">Not yet collected/paid</t>
  </si>
  <si>
    <t xml:space="preserve">8 Sep: confirmed price for collecting the old decking substructure wood. Not a skip — separate wood-collection charge, same pooled fund since it's decking-related waste removal.</t>
  </si>
  <si>
    <t xml:space="preserve">Labour — gutter replacement (both parapet sides + lower rear elevation), fascia/soffit extension, slate replacement, barge board trim</t>
  </si>
  <si>
    <t xml:space="preserve">Estimate dated 4 Sep, discussed 4 Sep. Start confirmed 8 Sep: end of this week or next week.</t>
  </si>
  <si>
    <t xml:space="preserve">Scaffolding — portable tower</t>
  </si>
  <si>
    <t xml:space="preserve">Per estimate 4 Sep.</t>
  </si>
  <si>
    <t xml:space="preserve">Materials</t>
  </si>
  <si>
    <t xml:space="preserve">Roofline works rubbish removal — £40, paid directly per the 4 Sep estimate. Reclassified from Roofline works into the pooled fund, avoiding a separate cost centre for what is genuinely the same category of waste-removal spend.</t>
  </si>
  <si>
    <t xml:space="preserve">Per estimate 4 Sep. RECLASSIFIED 8 Sep from Roofline works into the pooled Rubbish removal fund — same rationale as the other pooled items (chimney/coping/decking rubbish already share this fund).</t>
  </si>
  <si>
    <t xml:space="preserve">TOTAL (all lines)</t>
  </si>
  <si>
    <t xml:space="preserve">Invoice &amp; Payment Register — add a row per invoice received</t>
  </si>
  <si>
    <t xml:space="preserve">Yellow cells are inputs. Cost centre must match the Summary sheet names exactly (dropdown-free by design — copy from row 5). Paid date empty = outstanding.</t>
  </si>
  <si>
    <t xml:space="preserve">Invoice date</t>
  </si>
  <si>
    <t xml:space="preserve">Reference</t>
  </si>
  <si>
    <t xml:space="preserve">Description</t>
  </si>
  <si>
    <t xml:space="preserve">Amount £ (gross)</t>
  </si>
  <si>
    <t xml:space="preserve">Paid date</t>
  </si>
  <si>
    <t xml:space="preserve">Method</t>
  </si>
  <si>
    <t xml:space="preserve">V4FQ-15584</t>
  </si>
  <si>
    <t xml:space="preserve">Millboard Ashwood decking + Plas-Pro subframe, fixings (144.9 m²)</t>
  </si>
  <si>
    <t xml:space="preserve">Amex</t>
  </si>
  <si>
    <t xml:space="preserve">Paid in full at order</t>
  </si>
  <si>
    <t xml:space="preserve">Dry Lining Supplies Ltd</t>
  </si>
  <si>
    <t xml:space="preserve">RECB000NNIVB49XWEXOG</t>
  </si>
  <si>
    <t xml:space="preserve">Render materials (shared chimney+coping): mesh, Weberend Aid ×6, beads, SBR, rubble sacks</t>
  </si>
  <si>
    <t xml:space="preserve">Pay By Link</t>
  </si>
  <si>
    <t xml:space="preserve">Project-materials share of £423.69 receipt</t>
  </si>
  <si>
    <t xml:space="preserve">Folding work platform 600mm — Luke's equipment, non-project</t>
  </si>
  <si>
    <t xml:space="preserve">PREPAYMENT vs chimney phase-start invoice: pay £1,528.29 of the £1,640 when it lands</t>
  </si>
  <si>
    <t xml:space="preserve">Cash</t>
  </si>
  <si>
    <t xml:space="preserve">Scaffold erection payment — chimney share (pro-rata of £2,000 cash)</t>
  </si>
  <si>
    <t xml:space="preserve">£2,000 paid following erection 17–18 Jul; amend date cell if payment day differed</t>
  </si>
  <si>
    <t xml:space="preserve">INV-0286</t>
  </si>
  <si>
    <t xml:space="preserve">Chimney labour, invoiced (£3,200 less £111.70 work-platform prepayment). Rubbish removal £80 NOT included — outstanding.</t>
  </si>
  <si>
    <t xml:space="preserve">Invoiced (non-cash) — full price, no 10% discount. £80 rubbish removal still outstanding.</t>
  </si>
  <si>
    <t xml:space="preserve">Dry Lining Supplies</t>
  </si>
  <si>
    <t xml:space="preserve">914751798</t>
  </si>
  <si>
    <t xml:space="preserve">Weber Pral M Silver Pearl x10, Plastic 15mm Stop Bead 3m x3 (shared render finish)</t>
  </si>
  <si>
    <t xml:space="preserve">Second pooled-materials trip</t>
  </si>
  <si>
    <t xml:space="preserve">RECB000NNIVB6DIPDFCW</t>
  </si>
  <si>
    <t xml:space="preserve">Weberend Ocr x3, Weber Pral M Silver Pearl x4, Stop Bead x6, Drip Bead x2, Sikabond SBR x1 (coping render)</t>
  </si>
  <si>
    <t xml:space="preserve">Coping stones render materials. Receipt received 4 Aug (till David, 07:31).</t>
  </si>
  <si>
    <t xml:space="preserve">Coping 50% cash labour payment (base labour only, 10% discount). Condensation-prep addition NOT included — price not yet finalised.</t>
  </si>
  <si>
    <t xml:space="preserve">Confirmed 7 Aug: 50% cash / 50% invoice split on original £3,800 quote. Remainder £1,980.00 (incl. rubbish) to be invoiced next week. £250 addition separate, price TBC.</t>
  </si>
  <si>
    <t xml:space="preserve">Order #147399</t>
  </si>
  <si>
    <t xml:space="preserve">5" Stainless Steel Chimney Pot Hanger Cowl — replaces original spec</t>
  </si>
  <si>
    <t xml:space="preserve">Card (Ryan, project account)</t>
  </si>
  <si>
    <t xml:space="preserve">Named purpose #7 (chimney cowl upgrade). RECLASSIFIED 17 Aug from Chimney repair — genuine scope addition beyond original quote.</t>
  </si>
  <si>
    <t xml:space="preserve">Skip Hire Comparison Ltd</t>
  </si>
  <si>
    <t xml:space="preserve">D81F29CE-0002</t>
  </si>
  <si>
    <t xml:space="preserve">8 cubic yard skip, delivery 11 Aug</t>
  </si>
  <si>
    <t xml:space="preserve">First skip. Replaces chimney/coping/decking rubbish-removal quotes — transferred to this pooled fund 10 Aug. CANCELLED 11 Aug — original supplier delayed delivery; refunded in full (receipt 3362-9782), see row below.</t>
  </si>
  <si>
    <t xml:space="preserve">Refund 3362-9782 (orig. inv. D81F29CE-0002)</t>
  </si>
  <si>
    <t xml:space="preserve">Refund — original skip cancelled after supplier delivery delay</t>
  </si>
  <si>
    <t xml:space="preserve">Refund confirmed received 13 Aug 2026 — cleared in 2 working days, faster than the 5-10 day estimate.</t>
  </si>
  <si>
    <t xml:space="preserve">Elmbridge Mini Skips</t>
  </si>
  <si>
    <t xml:space="preserve">INV-11373 / ref 25996</t>
  </si>
  <si>
    <t xml:space="preserve">8 cubic yard skip — delivery, replaces cancelled Skip Hire Comparison booking</t>
  </si>
  <si>
    <t xml:space="preserve">Settled 12 Aug 2026. Skip delivered filled 11 Aug; collected and swapped for empty 12 Aug.</t>
  </si>
  <si>
    <t xml:space="preserve">INV-11375 / ref 26030</t>
  </si>
  <si>
    <t xml:space="preserve">8 cubic yard skip — exchange (collects filled skip, delivers empty)</t>
  </si>
  <si>
    <t xml:space="preserve">Settled 12 Aug 2026.</t>
  </si>
  <si>
    <t xml:space="preserve">INV-0288</t>
  </si>
  <si>
    <t xml:space="preserve">50% invoiced balance — coping base labour</t>
  </si>
  <si>
    <t xml:space="preserve">Paid as part of INV-0288 (£2,150 total, also includes the £250 condensation-prep item — see Contingency row below).</t>
  </si>
  <si>
    <t xml:space="preserve">Named purpose #6 — coping condensation-escape prep (re-bed 3 bricks, fibreglass mesh, 4 weep holes)</t>
  </si>
  <si>
    <t xml:space="preserve">Reclassified from Coping 13 Aug. Terms were originally agreed as 100% cash — confirmed 14 Aug this is instead paid via bank transfer as part of INV-0288, bundled with the £1,900 coping balance.</t>
  </si>
  <si>
    <t xml:space="preserve">SoftWash UK</t>
  </si>
  <si>
    <t xml:space="preserve">Order F4UJ62VLQ</t>
  </si>
  <si>
    <t xml:space="preserve">Render Cleaner Gel X Pro, 5 Litres</t>
  </si>
  <si>
    <t xml:space="preserve">Card (Mastercard ...4597)</t>
  </si>
  <si>
    <t xml:space="preserve">Paid at checkout, order confirmed 16 Aug. Also logged on Materials Receipts sheet — pool detail.</t>
  </si>
  <si>
    <t xml:space="preserve">TP invoices 1047678330 / 1047972816 / 1048887075</t>
  </si>
  <si>
    <t xml:space="preserve">Render/masonry consumables + lead flashing — pooled, not split by workstream</t>
  </si>
  <si>
    <t xml:space="preserve">PAID 18 Aug, confirmed as part of the full £547.88 TP account settlement (all 4 invoices). £0.02 rounding absorbed here so the three allocations reconcile exactly to the confirmed total.</t>
  </si>
  <si>
    <t xml:space="preserve">Refund against 4 Aug order</t>
  </si>
  <si>
    <t xml:space="preserve">Refund — 5 bags unused monocouche + other returned items, against original £148.53 order</t>
  </si>
  <si>
    <t xml:space="preserve">Refund confirmed received 19 Aug — £72.23, slightly more than the £63.10 estimate (5 bags x £12.62), likely covered a few additional returned items beyond the monocouche. Actual figure used, not the estimate.</t>
  </si>
  <si>
    <t xml:space="preserve">TP invoice 1048887075</t>
  </si>
  <si>
    <t xml:space="preserve">Damplas DPC roll — coping condensation-prep material (named purpose #6)</t>
  </si>
  <si>
    <t xml:space="preserve">PAID 18 Aug, part of the full £547.88 TP account settlement. Adds to the existing purpose #6 draw (£250 labour) — total now £276.42.</t>
  </si>
  <si>
    <t xml:space="preserve">TP invoice 1049120278</t>
  </si>
  <si>
    <t xml:space="preserve">Cleaning/finishing consumables — pooled, not split by workstream</t>
  </si>
  <si>
    <t xml:space="preserve">PAID 18 Aug, part of the full £547.88 TP account settlement.</t>
  </si>
  <si>
    <t xml:space="preserve">INV-0289</t>
  </si>
  <si>
    <t xml:space="preserve">Decking labour — stage 1 (25% of £17,600 quoted labour)</t>
  </si>
  <si>
    <t xml:space="preserve">First stage payment — resolves the earlier open question about 4-5 stage triggers: appears to be a flat 25% per stage. 3 stages remaining (£13,200).</t>
  </si>
  <si>
    <t xml:space="preserve">Scaffold erection payment — coping share (pro-rata of £2,000 cash). CAUGHT 18 Aug: paid at the time, only now logged in the Register.</t>
  </si>
  <si>
    <t xml:space="preserve">Matches chimney's already-logged share (row 8) — total £2,000 split £1,500/£1,700 chimney/coping ratio.</t>
  </si>
  <si>
    <t xml:space="preserve">Scaffold final balance — chimney share (pro-rata of £1,200)</t>
  </si>
  <si>
    <t xml:space="preserve">Scaffold strike complete 18 Aug, final balance paid. Full £3,200 now settled: £1,500 chimney + £1,700 coping.</t>
  </si>
  <si>
    <t xml:space="preserve">Scaffold final balance — coping share (pro-rata of £1,200)</t>
  </si>
  <si>
    <t xml:space="preserve">Scaffold strike complete 18 Aug, final balance paid.</t>
  </si>
  <si>
    <t xml:space="preserve">V4FQ-17702</t>
  </si>
  <si>
    <t xml:space="preserve">V4 screw top-up — 15 boxes structural subframe screws (named purpose #8)</t>
  </si>
  <si>
    <t xml:space="preserve">Requested by Luke 20 Aug, ordered and paid 24 Aug.</t>
  </si>
  <si>
    <t xml:space="preserve">Decking labour — cash instalment (10% discount applies)</t>
  </si>
  <si>
    <t xml:space="preserve">Retires £2,222.22 of quoted value at the 10% cash discount (£2,000 paid = 90%). Not a full 25% stage — partial/interim payment. Total paid to date: £6,400 (Stage 1 £4,400 invoiced + this £2,000 cash). Quoted value remaining: £10,977.78.</t>
  </si>
  <si>
    <t xml:space="preserve">Skip Hire Log — pooled rubbish-removal drawdown</t>
  </si>
  <si>
    <t xml:space="preserve">Provisional pooled budget £1,360 (transferred 10 Aug from chimney £80 + coping £80 + decking £1,200 rubbish-removal quotes). Family now supplies skips directly rather than Luke arranging disposal. Log every skip here AND on the Invoice Register (cost centre: Rubbish removal (pooled skips)) — this sheet is skip detail, the Register is the money record. Unlike the materials pool, more skips are expected — budget may need topping up.</t>
  </si>
  <si>
    <t xml:space="preserve">Opening pool:</t>
  </si>
  <si>
    <t xml:space="preserve">Remaining:</t>
  </si>
  <si>
    <t xml:space="preserve">Date</t>
  </si>
  <si>
    <t xml:space="preserve">Provider</t>
  </si>
  <si>
    <t xml:space="preserve">Skip details</t>
  </si>
  <si>
    <t xml:space="preserve">Phase / use</t>
  </si>
  <si>
    <t xml:space="preserve">Amount £</t>
  </si>
  <si>
    <t xml:space="preserve">Running remaining £</t>
  </si>
  <si>
    <t xml:space="preserve">8 cubic yard, general waste, delivery 11 Aug (ref D81F29CE-0002) — CANCELLED 11 Aug (supplier delayed), refunded in full (receipt 3362-9782)</t>
  </si>
  <si>
    <t xml:space="preserve">Above-ground works (chimney/coping)</t>
  </si>
  <si>
    <t xml:space="preserve">Refund — cancelled booking, receipt 3362-9782, 5-10 working days to clear</t>
  </si>
  <si>
    <t xml:space="preserve">Refund (cancelled skip)</t>
  </si>
  <si>
    <t xml:space="preserve">8 cubic yard, delivery — filled, awaiting exchange (INV-11373, ref 25996)</t>
  </si>
  <si>
    <t xml:space="preserve">8 cubic yard, exchange — collects filled skip, delivers empty (INV-11375, ref 26030)</t>
  </si>
  <si>
    <t xml:space="preserve">TBC (cash collection)</t>
  </si>
  <si>
    <t xml:space="preserve">Old decking substructure wood collection — £350 cash, pending, expected this week</t>
  </si>
  <si>
    <t xml:space="preserve">Decking substructure, both sides</t>
  </si>
  <si>
    <t xml:space="preserve">Roofline works rubbish removal — £40, paid directly per the 4 Sep estimate. Reclassified 8 Sep from Roofline works into this pooled fund.</t>
  </si>
  <si>
    <t xml:space="preserve">Materials Receipts — pooled budget drawdown</t>
  </si>
  <si>
    <t xml:space="preserve">Pooled budget £1,130 (chimney £480 + coping £650, pooled 20 Jul). Log every merchant receipt here AND on the Invoice Register (cost centre: Materials (pooled)) — this sheet is the pool detail, the Register is the money record. NOTE: pool is over cap after adding Luke's Travis Perkins account materials (now paid in full, 18 Aug) — flagged deliberately, not hidden; cap left at £1,130 rather than raised. PENDING 18 Aug: 5 bags of unused monocouche (Weber Pral M) returned to Dry Lining Supplies — refund expected within a couple of working days. Calculated from receipts: Weber Pral M Silver Pearl consistently £12.62/bag inc VAT (£126.20/10 on 22 Jul, £50.48/4 on 4 Aug) × 5 bags = £63.10 expected refund. Not yet logged as received — add Paid date once the credit note actually lands.</t>
  </si>
  <si>
    <t xml:space="preserve">Merchant</t>
  </si>
  <si>
    <t xml:space="preserve">Items (summary)</t>
  </si>
  <si>
    <t xml:space="preserve">Render mesh, Weberend Aid ×6, angle/stop beads, rubble sacks, Bond It SBR 5l (project share; £111.71 platform excluded — Luke's equipment)</t>
  </si>
  <si>
    <t xml:space="preserve">Render (chimney + coping, shared)</t>
  </si>
  <si>
    <t xml:space="preserve">Weber Pral M Silver Pearl x10 (£126.20), Plastic 15mm Stop Bead 3m x3 (£9.60), inc VAT</t>
  </si>
  <si>
    <t xml:space="preserve">Render finish (chimney + coping, shared)</t>
  </si>
  <si>
    <t xml:space="preserve">Weberend Ocr x3 (£29.13), Weber Pral M Silver Pearl x4 (£50.48), Stop Bead x6 (£19.20), Drip Bead x2 (£7.42), Sikabond SBR (£17.54), inc VAT</t>
  </si>
  <si>
    <t xml:space="preserve">Render (coping stones)</t>
  </si>
  <si>
    <t xml:space="preserve">Render Cleaner Gel X Pro, 5 Litres (order F4UJ62VLQ)</t>
  </si>
  <si>
    <t xml:space="preserve">Render cleanup (chimney + coping, shared)</t>
  </si>
  <si>
    <t xml:space="preserve">Render/masonry consumables + lead flashing, 3 invoices 17 Jul-5 Aug (1047678330 / 1047972816 / 1048887075) — pooled, not split by workstream</t>
  </si>
  <si>
    <t xml:space="preserve">Render (chimney + coping, pooled)</t>
  </si>
  <si>
    <t xml:space="preserve">LG Building and Roofing Ltd (Travis Perkins account, INV 1049120278)</t>
  </si>
  <si>
    <t xml:space="preserve">Cleaning/finishing consumables (trigger spray, decorating cloth) — pooled, not split by workstream</t>
  </si>
  <si>
    <t xml:space="preserve">Contingency Drawdown — £5,000 pot (agreed Lara/Luke, 1 Jul 2026)</t>
  </si>
  <si>
    <t xml:space="preserve">Named purposes: fence move/repair labour · ~~soakaway fix before decking~~ CANCELLED 1 Sep, cost-benefit not worth it, nothing drawn · drainage by the garage · additional curved-decking labour · cement &amp; bricks · coping condensation-prep (£276.42, purpose #6) · chimney cowl upgrade (£62.90, purpose #7) · V4 screw top-up (£141.66, purpose #8) · V4 screw top-up #2 (est. £141.66, purpose #9, ordered 5 Sep, not yet invoiced) · digger + barrow loader hire (est. £530, purpose #10, on hire until 10 Sep, mixed purpose — side (a) decking widening + new shed excavation). Luke's labour from this pot invoiced at 10% discount (extended 20 Jul) — condensation-prep, the cowl, and both screw top-ups were/are bank transfer/direct paid, not cash, so no discount applies to any of them. Curved-decking extra labour discount status TBC. Pipe investigation (task 2.2) RESOLVED 4 Sep: no leaking pipe found.</t>
  </si>
  <si>
    <t xml:space="preserve">Opening pot:</t>
  </si>
  <si>
    <t xml:space="preserve">Purpose</t>
  </si>
  <si>
    <t xml:space="preserve">Supplier / detail</t>
  </si>
  <si>
    <t xml:space="preserve">Coping condensation-escape prep (named purpose #6)</t>
  </si>
  <si>
    <t xml:space="preserve">LG Building and Roofing Ltd (INV-0288)</t>
  </si>
  <si>
    <t xml:space="preserve">Coping condensation-prep material (Damplas DPC roll, named purpose #6)</t>
  </si>
  <si>
    <t xml:space="preserve">Chimney cowl upgrade — stainless steel (named purpose #7)</t>
  </si>
  <si>
    <t xml:space="preserve">StoveWorldUK (order #147399)</t>
  </si>
  <si>
    <t xml:space="preserve">V4 Wood Flooring Ltd (V4FQ-17702)</t>
  </si>
</sst>
</file>

<file path=xl/styles.xml><?xml version="1.0" encoding="utf-8"?>
<styleSheet xmlns="http://schemas.openxmlformats.org/spreadsheetml/2006/main">
  <numFmts count="7">
    <numFmt numFmtId="164" formatCode="General"/>
    <numFmt numFmtId="165" formatCode="dd\ mmm\ yyyy"/>
    <numFmt numFmtId="166" formatCode="#,##0.00"/>
    <numFmt numFmtId="167" formatCode="\£#,##0.00"/>
    <numFmt numFmtId="168" formatCode="\£#,##0.00;&quot;-£&quot;#,##0.00"/>
    <numFmt numFmtId="169" formatCode="\£#,##0.00;[RED]&quot;-£&quot;#,##0.00"/>
    <numFmt numFmtId="170" formatCode="General"/>
  </numFmts>
  <fonts count="17">
    <font>
      <sz val="11"/>
      <color theme="1"/>
      <name val="Calibri"/>
      <family val="2"/>
      <charset val="1"/>
    </font>
    <font>
      <sz val="10"/>
      <name val="Arial"/>
      <family val="0"/>
    </font>
    <font>
      <sz val="10"/>
      <name val="Arial"/>
      <family val="0"/>
    </font>
    <font>
      <sz val="10"/>
      <name val="Arial"/>
      <family val="0"/>
    </font>
    <font>
      <b val="true"/>
      <sz val="16"/>
      <color rgb="FF0F766E"/>
      <name val="Georgia"/>
      <family val="0"/>
      <charset val="1"/>
    </font>
    <font>
      <b val="true"/>
      <sz val="11"/>
      <color rgb="FF1F2937"/>
      <name val="Calibri"/>
      <family val="0"/>
      <charset val="1"/>
    </font>
    <font>
      <sz val="11"/>
      <color rgb="FF0000FF"/>
      <name val="Calibri"/>
      <family val="0"/>
      <charset val="1"/>
    </font>
    <font>
      <i val="true"/>
      <sz val="10"/>
      <color rgb="FF6B7280"/>
      <name val="Calibri"/>
      <family val="0"/>
      <charset val="1"/>
    </font>
    <font>
      <b val="true"/>
      <sz val="10"/>
      <color rgb="FFFFFFFF"/>
      <name val="Calibri"/>
      <family val="0"/>
      <charset val="1"/>
    </font>
    <font>
      <sz val="11"/>
      <color rgb="FF1F2937"/>
      <name val="Calibri"/>
      <family val="0"/>
      <charset val="1"/>
    </font>
    <font>
      <b val="true"/>
      <sz val="11"/>
      <color rgb="FF0F766E"/>
      <name val="Calibri"/>
      <family val="0"/>
      <charset val="1"/>
    </font>
    <font>
      <sz val="10"/>
      <color rgb="FF1F2937"/>
      <name val="Calibri"/>
      <family val="0"/>
      <charset val="1"/>
    </font>
    <font>
      <b val="true"/>
      <sz val="12"/>
      <color rgb="FF0F766E"/>
      <name val="Calibri"/>
      <family val="0"/>
      <charset val="1"/>
    </font>
    <font>
      <b val="true"/>
      <sz val="13"/>
      <color rgb="FF0F766E"/>
      <name val="Georgia"/>
      <family val="0"/>
      <charset val="1"/>
    </font>
    <font>
      <b val="true"/>
      <sz val="11"/>
      <color rgb="FFFFFFFF"/>
      <name val="Calibri"/>
      <family val="0"/>
      <charset val="1"/>
    </font>
    <font>
      <b val="true"/>
      <sz val="11"/>
      <color rgb="FF059669"/>
      <name val="Calibri"/>
      <family val="0"/>
      <charset val="1"/>
    </font>
    <font>
      <b val="true"/>
      <sz val="13"/>
      <color rgb="FF0F766E"/>
      <name val="Calibri"/>
      <family val="0"/>
      <charset val="1"/>
    </font>
  </fonts>
  <fills count="12">
    <fill>
      <patternFill patternType="none"/>
    </fill>
    <fill>
      <patternFill patternType="gray125"/>
    </fill>
    <fill>
      <patternFill patternType="solid">
        <fgColor rgb="FFFFF9C4"/>
        <bgColor rgb="FFFEF3C7"/>
      </patternFill>
    </fill>
    <fill>
      <patternFill patternType="solid">
        <fgColor rgb="FF0F766E"/>
        <bgColor rgb="FF0D9488"/>
      </patternFill>
    </fill>
    <fill>
      <patternFill patternType="solid">
        <fgColor rgb="FFF0FDFA"/>
        <bgColor rgb="FFF3F4F6"/>
      </patternFill>
    </fill>
    <fill>
      <patternFill patternType="solid">
        <fgColor rgb="FFFEE2E2"/>
        <bgColor rgb="FFE5E7EB"/>
      </patternFill>
    </fill>
    <fill>
      <patternFill patternType="solid">
        <fgColor rgb="FFF3F4F6"/>
        <bgColor rgb="FFF0FDFA"/>
      </patternFill>
    </fill>
    <fill>
      <patternFill patternType="solid">
        <fgColor rgb="FFCCFBF1"/>
        <bgColor rgb="FFD1FAE5"/>
      </patternFill>
    </fill>
    <fill>
      <patternFill patternType="solid">
        <fgColor rgb="FFD1FAE5"/>
        <bgColor rgb="FFCCFBF1"/>
      </patternFill>
    </fill>
    <fill>
      <patternFill patternType="solid">
        <fgColor rgb="FFE5E7EB"/>
        <bgColor rgb="FFF3F4F6"/>
      </patternFill>
    </fill>
    <fill>
      <patternFill patternType="solid">
        <fgColor rgb="FFFEF3C7"/>
        <bgColor rgb="FFFFF9C4"/>
      </patternFill>
    </fill>
    <fill>
      <patternFill patternType="solid">
        <fgColor rgb="FF0D9488"/>
        <bgColor rgb="FF059669"/>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5" fillId="6" borderId="1" xfId="0" applyFont="true" applyBorder="true" applyAlignment="true" applyProtection="false">
      <alignment horizontal="left" vertical="center" textRotation="0" wrapText="true" indent="0" shrinkToFit="false"/>
      <protection locked="true" hidden="false"/>
    </xf>
    <xf numFmtId="164" fontId="9" fillId="6" borderId="1" xfId="0" applyFont="true" applyBorder="true" applyAlignment="true" applyProtection="false">
      <alignment horizontal="left" vertical="center" textRotation="0" wrapText="true" indent="0" shrinkToFit="false"/>
      <protection locked="true" hidden="false"/>
    </xf>
    <xf numFmtId="166" fontId="10" fillId="6" borderId="1" xfId="0" applyFont="true" applyBorder="true" applyAlignment="true" applyProtection="false">
      <alignment horizontal="right" vertical="center" textRotation="0" wrapText="false" indent="0" shrinkToFit="false"/>
      <protection locked="true" hidden="false"/>
    </xf>
    <xf numFmtId="166" fontId="10" fillId="4" borderId="1" xfId="0" applyFont="true" applyBorder="true" applyAlignment="true" applyProtection="false">
      <alignment horizontal="right"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right" vertical="center" textRotation="0" wrapText="false" indent="0" shrinkToFit="false"/>
      <protection locked="true" hidden="false"/>
    </xf>
    <xf numFmtId="166" fontId="9" fillId="4" borderId="1" xfId="0" applyFont="true" applyBorder="true" applyAlignment="true" applyProtection="false">
      <alignment horizontal="right"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6" fontId="10" fillId="7" borderId="1" xfId="0" applyFont="true" applyBorder="true" applyAlignment="true" applyProtection="false">
      <alignment horizontal="right" vertical="center" textRotation="0" wrapText="false" indent="0" shrinkToFit="false"/>
      <protection locked="true" hidden="false"/>
    </xf>
    <xf numFmtId="164" fontId="12" fillId="7" borderId="1" xfId="0" applyFont="true" applyBorder="tru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6" fontId="12" fillId="7" borderId="1" xfId="0" applyFont="true" applyBorder="true" applyAlignment="true" applyProtection="false">
      <alignment horizontal="right" vertical="center" textRotation="0" wrapText="false" indent="0" shrinkToFit="false"/>
      <protection locked="true" hidden="false"/>
    </xf>
    <xf numFmtId="166" fontId="10" fillId="4"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14" fillId="3" borderId="1" xfId="0" applyFont="true" applyBorder="true" applyAlignment="true" applyProtection="false">
      <alignment horizontal="left" vertical="center" textRotation="0" wrapText="tru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right" vertical="center" textRotation="0" wrapText="false" indent="0" shrinkToFit="false"/>
      <protection locked="true" hidden="false"/>
    </xf>
    <xf numFmtId="168" fontId="5" fillId="0" borderId="1" xfId="0" applyFont="true" applyBorder="true" applyAlignment="true" applyProtection="false">
      <alignment horizontal="right" vertical="center" textRotation="0" wrapText="false" indent="0" shrinkToFit="false"/>
      <protection locked="true" hidden="false"/>
    </xf>
    <xf numFmtId="164" fontId="9" fillId="8" borderId="1" xfId="0" applyFont="true" applyBorder="true" applyAlignment="true" applyProtection="false">
      <alignment horizontal="left" vertical="center" textRotation="0" wrapText="true" indent="0" shrinkToFit="false"/>
      <protection locked="true" hidden="false"/>
    </xf>
    <xf numFmtId="167" fontId="9" fillId="8" borderId="1" xfId="0" applyFont="true" applyBorder="true" applyAlignment="true" applyProtection="false">
      <alignment horizontal="right" vertical="center" textRotation="0" wrapText="false" indent="0" shrinkToFit="false"/>
      <protection locked="true" hidden="false"/>
    </xf>
    <xf numFmtId="168" fontId="15" fillId="8" borderId="1" xfId="0" applyFont="true" applyBorder="true" applyAlignment="true" applyProtection="false">
      <alignment horizontal="right" vertical="center" textRotation="0" wrapText="false" indent="0" shrinkToFit="false"/>
      <protection locked="true" hidden="false"/>
    </xf>
    <xf numFmtId="168" fontId="15" fillId="0" borderId="1" xfId="0" applyFont="true" applyBorder="true" applyAlignment="true" applyProtection="false">
      <alignment horizontal="right" vertical="center" textRotation="0" wrapText="false" indent="0" shrinkToFit="false"/>
      <protection locked="true" hidden="false"/>
    </xf>
    <xf numFmtId="167" fontId="9" fillId="6" borderId="1" xfId="0" applyFont="true" applyBorder="true" applyAlignment="true" applyProtection="false">
      <alignment horizontal="right" vertical="center" textRotation="0" wrapText="false" indent="0" shrinkToFit="false"/>
      <protection locked="true" hidden="false"/>
    </xf>
    <xf numFmtId="168" fontId="15" fillId="6" borderId="1" xfId="0" applyFont="true" applyBorder="true" applyAlignment="true" applyProtection="false">
      <alignment horizontal="right" vertical="center" textRotation="0" wrapText="false" indent="0" shrinkToFit="false"/>
      <protection locked="true" hidden="false"/>
    </xf>
    <xf numFmtId="164" fontId="5" fillId="9" borderId="1" xfId="0" applyFont="true" applyBorder="tru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center" textRotation="0" wrapText="true" indent="0" shrinkToFit="false"/>
      <protection locked="true" hidden="false"/>
    </xf>
    <xf numFmtId="167" fontId="9" fillId="0" borderId="0" xfId="0" applyFont="true" applyBorder="false" applyAlignment="true" applyProtection="false">
      <alignment horizontal="righ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7" fontId="5" fillId="10" borderId="1" xfId="0" applyFont="true" applyBorder="true" applyAlignment="true" applyProtection="false">
      <alignment horizontal="right" vertical="center" textRotation="0" wrapText="false" indent="0" shrinkToFit="false"/>
      <protection locked="true" hidden="false"/>
    </xf>
    <xf numFmtId="169" fontId="5" fillId="10" borderId="1"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14" fillId="11" borderId="1" xfId="0" applyFont="true" applyBorder="true" applyAlignment="true" applyProtection="false">
      <alignment horizontal="center" vertical="center" textRotation="0" wrapText="false" indent="0" shrinkToFit="false"/>
      <protection locked="true" hidden="false"/>
    </xf>
    <xf numFmtId="164" fontId="9" fillId="7" borderId="1" xfId="0" applyFont="true" applyBorder="true" applyAlignment="true" applyProtection="false">
      <alignment horizontal="center" vertical="center" textRotation="0" wrapText="false" indent="0" shrinkToFit="false"/>
      <protection locked="true" hidden="false"/>
    </xf>
    <xf numFmtId="164" fontId="9" fillId="10" borderId="1" xfId="0" applyFont="tru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6" fontId="5" fillId="4" borderId="1" xfId="0" applyFont="true" applyBorder="true" applyAlignment="true" applyProtection="false">
      <alignment horizontal="right"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right"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left"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6" fontId="16" fillId="4" borderId="0" xfId="0" applyFont="true" applyBorder="false" applyAlignment="tru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766E"/>
      <rgbColor rgb="FFE5E7EB"/>
      <rgbColor rgb="FF808080"/>
      <rgbColor rgb="FF9999FF"/>
      <rgbColor rgb="FF993366"/>
      <rgbColor rgb="FFFFF9C4"/>
      <rgbColor rgb="FFCCFBF1"/>
      <rgbColor rgb="FF660066"/>
      <rgbColor rgb="FFFF8080"/>
      <rgbColor rgb="FF0066CC"/>
      <rgbColor rgb="FFD1D5DB"/>
      <rgbColor rgb="FF000080"/>
      <rgbColor rgb="FFFF00FF"/>
      <rgbColor rgb="FFFFFF00"/>
      <rgbColor rgb="FF00FFFF"/>
      <rgbColor rgb="FF800080"/>
      <rgbColor rgb="FF800000"/>
      <rgbColor rgb="FF0D9488"/>
      <rgbColor rgb="FF0000FF"/>
      <rgbColor rgb="FF00CCFF"/>
      <rgbColor rgb="FFF0FDFA"/>
      <rgbColor rgb="FFD1FAE5"/>
      <rgbColor rgb="FFFEF3C7"/>
      <rgbColor rgb="FFF3F4F6"/>
      <rgbColor rgb="FFFF99CC"/>
      <rgbColor rgb="FFCC99FF"/>
      <rgbColor rgb="FFFEE2E2"/>
      <rgbColor rgb="FF3366FF"/>
      <rgbColor rgb="FF33CCCC"/>
      <rgbColor rgb="FF99CC00"/>
      <rgbColor rgb="FFFFCC00"/>
      <rgbColor rgb="FFFF9900"/>
      <rgbColor rgb="FFFF6600"/>
      <rgbColor rgb="FF6B7280"/>
      <rgbColor rgb="FF969696"/>
      <rgbColor rgb="FF003366"/>
      <rgbColor rgb="FF059669"/>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5" min="3" style="1" width="14"/>
    <col collapsed="false" customWidth="true" hidden="false" outlineLevel="0" max="6" min="6" style="1" width="20"/>
    <col collapsed="false" customWidth="true" hidden="false" outlineLevel="0" max="7" min="7" style="1" width="52"/>
  </cols>
  <sheetData>
    <row r="1" customFormat="false" ht="19.5" hidden="false" customHeight="true" outlineLevel="0" collapsed="false">
      <c r="A1" s="2" t="s">
        <v>0</v>
      </c>
    </row>
    <row r="2" customFormat="false" ht="15" hidden="false" customHeight="true" outlineLevel="0" collapsed="false">
      <c r="A2" s="3" t="s">
        <v>1</v>
      </c>
      <c r="B2" s="4" t="n">
        <v>46269</v>
      </c>
      <c r="C2" s="5" t="s">
        <v>2</v>
      </c>
    </row>
    <row r="4" customFormat="false" ht="15" hidden="false" customHeight="true" outlineLevel="0" collapsed="false">
      <c r="A4" s="6" t="s">
        <v>3</v>
      </c>
      <c r="B4" s="6" t="s">
        <v>4</v>
      </c>
      <c r="C4" s="6" t="s">
        <v>5</v>
      </c>
      <c r="D4" s="6" t="s">
        <v>6</v>
      </c>
      <c r="E4" s="6" t="s">
        <v>7</v>
      </c>
      <c r="F4" s="6" t="s">
        <v>8</v>
      </c>
      <c r="G4" s="6" t="s">
        <v>9</v>
      </c>
    </row>
    <row r="5" customFormat="false" ht="34.5" hidden="false" customHeight="true" outlineLevel="0" collapsed="false">
      <c r="A5" s="7" t="s">
        <v>10</v>
      </c>
      <c r="B5" s="8" t="s">
        <v>11</v>
      </c>
      <c r="C5" s="9" t="n">
        <v>32228.99</v>
      </c>
      <c r="D5" s="10" t="n">
        <f aca="false">SUMIF('Invoice Register'!$B:$B,$A5,'Invoice Register'!$F:$F)</f>
        <v>32228.99</v>
      </c>
      <c r="E5" s="10" t="n">
        <f aca="false">SUMIFS('Invoice Register'!$F:$F,'Invoice Register'!$B:$B,$A5,'Invoice Register'!$G:$G,"&lt;&gt;")</f>
        <v>32228.99</v>
      </c>
      <c r="F5" s="10" t="n">
        <f aca="false">C5-D5</f>
        <v>0</v>
      </c>
      <c r="G5" s="11" t="s">
        <v>12</v>
      </c>
    </row>
    <row r="6" customFormat="false" ht="27.75" hidden="false" customHeight="true" outlineLevel="0" collapsed="false">
      <c r="A6" s="7" t="s">
        <v>13</v>
      </c>
      <c r="B6" s="8" t="s">
        <v>14</v>
      </c>
      <c r="C6" s="9" t="n">
        <v>17600</v>
      </c>
      <c r="D6" s="10" t="n">
        <f aca="false">SUMIF('Invoice Register'!$B:$B,$A6,'Invoice Register'!$F:$F)</f>
        <v>6400</v>
      </c>
      <c r="E6" s="10" t="n">
        <f aca="false">SUMIFS('Invoice Register'!$F:$F,'Invoice Register'!$B:$B,$A6,'Invoice Register'!$G:$G,"&lt;&gt;")</f>
        <v>6400</v>
      </c>
      <c r="F6" s="10" t="n">
        <f aca="false">C6-D6</f>
        <v>11200</v>
      </c>
      <c r="G6" s="11" t="s">
        <v>15</v>
      </c>
    </row>
    <row r="7" customFormat="false" ht="34.5" hidden="false" customHeight="true" outlineLevel="0" collapsed="false">
      <c r="A7" s="7" t="s">
        <v>16</v>
      </c>
      <c r="B7" s="8" t="s">
        <v>17</v>
      </c>
      <c r="C7" s="9" t="n">
        <v>5000</v>
      </c>
      <c r="D7" s="10" t="n">
        <f aca="false">SUMIF('Invoice Register'!$B:$B,$A7,'Invoice Register'!$F:$F)</f>
        <v>480.98</v>
      </c>
      <c r="E7" s="10" t="n">
        <f aca="false">SUMIFS('Invoice Register'!$F:$F,'Invoice Register'!$B:$B,$A7,'Invoice Register'!$G:$G,"&lt;&gt;")</f>
        <v>480.98</v>
      </c>
      <c r="F7" s="10" t="n">
        <f aca="false">C7-D7</f>
        <v>4519.02</v>
      </c>
      <c r="G7" s="11" t="s">
        <v>18</v>
      </c>
    </row>
    <row r="8" customFormat="false" ht="27.75" hidden="false" customHeight="true" outlineLevel="0" collapsed="false">
      <c r="A8" s="7" t="s">
        <v>19</v>
      </c>
      <c r="B8" s="8" t="s">
        <v>14</v>
      </c>
      <c r="C8" s="9" t="n">
        <v>4700</v>
      </c>
      <c r="D8" s="10" t="n">
        <f aca="false">SUMIF('Invoice Register'!$B:$B,$A8,'Invoice Register'!$F:$F)</f>
        <v>4700.01</v>
      </c>
      <c r="E8" s="10" t="n">
        <f aca="false">SUMIFS('Invoice Register'!$F:$F,'Invoice Register'!$B:$B,$A8,'Invoice Register'!$G:$G,"&lt;&gt;")</f>
        <v>4700.01</v>
      </c>
      <c r="F8" s="10" t="n">
        <f aca="false">C8-D8</f>
        <v>-0.0100000000002183</v>
      </c>
      <c r="G8" s="11" t="s">
        <v>20</v>
      </c>
    </row>
    <row r="9" customFormat="false" ht="27.75" hidden="false" customHeight="true" outlineLevel="0" collapsed="false">
      <c r="A9" s="7" t="s">
        <v>21</v>
      </c>
      <c r="B9" s="8" t="s">
        <v>14</v>
      </c>
      <c r="C9" s="9" t="n">
        <v>5310</v>
      </c>
      <c r="D9" s="10" t="n">
        <f aca="false">SUMIF('Invoice Register'!$B:$B,$A9,'Invoice Register'!$F:$F)</f>
        <v>5310</v>
      </c>
      <c r="E9" s="10" t="n">
        <f aca="false">SUMIFS('Invoice Register'!$F:$F,'Invoice Register'!$B:$B,$A9,'Invoice Register'!$G:$G,"&lt;&gt;")</f>
        <v>5310</v>
      </c>
      <c r="F9" s="10" t="n">
        <f aca="false">C9-D9</f>
        <v>0</v>
      </c>
      <c r="G9" s="12" t="s">
        <v>22</v>
      </c>
    </row>
    <row r="10" customFormat="false" ht="15" hidden="false" customHeight="true" outlineLevel="0" collapsed="false">
      <c r="A10" s="7" t="s">
        <v>23</v>
      </c>
      <c r="B10" s="8" t="s">
        <v>24</v>
      </c>
      <c r="C10" s="9" t="n">
        <v>1130</v>
      </c>
      <c r="D10" s="10" t="n">
        <f aca="false">SUMIF('Invoice Register'!$B:$B,$A10,'Invoice Register'!$F:$F)</f>
        <v>1120.69</v>
      </c>
      <c r="E10" s="10" t="n">
        <f aca="false">SUMIFS('Invoice Register'!$F:$F,'Invoice Register'!$B:$B,$A10,'Invoice Register'!$G:$G,"&lt;&gt;")</f>
        <v>1120.69</v>
      </c>
      <c r="F10" s="10" t="n">
        <f aca="false">C10-D10</f>
        <v>9.30999999999995</v>
      </c>
      <c r="G10" s="11" t="s">
        <v>25</v>
      </c>
    </row>
    <row r="11" customFormat="false" ht="15" hidden="false" customHeight="true" outlineLevel="0" collapsed="false">
      <c r="A11" s="13" t="s">
        <v>26</v>
      </c>
      <c r="B11" s="14" t="s">
        <v>27</v>
      </c>
      <c r="C11" s="15" t="n">
        <v>1360</v>
      </c>
      <c r="D11" s="16" t="n">
        <f aca="false">SUMIF('Invoice Register'!$B:$B,$A11,'Invoice Register'!$F:$F)</f>
        <v>780</v>
      </c>
      <c r="E11" s="16" t="n">
        <f aca="false">SUMIFS('Invoice Register'!$F:$F,'Invoice Register'!$B:$B,$A11,'Invoice Register'!$G:$G,"&lt;&gt;")</f>
        <v>780</v>
      </c>
      <c r="F11" s="16" t="n">
        <f aca="false">C11-D11</f>
        <v>580</v>
      </c>
      <c r="G11" s="17" t="s">
        <v>28</v>
      </c>
    </row>
    <row r="12" customFormat="false" ht="15" hidden="false" customHeight="true" outlineLevel="0" collapsed="false">
      <c r="A12" s="7" t="s">
        <v>29</v>
      </c>
      <c r="B12" s="8" t="s">
        <v>14</v>
      </c>
      <c r="C12" s="18" t="n">
        <v>2100</v>
      </c>
      <c r="D12" s="19" t="n">
        <f aca="false">SUMIF('Invoice Register'!$B:$B,$A12,'Invoice Register'!$F:$F)</f>
        <v>0</v>
      </c>
      <c r="E12" s="19" t="n">
        <f aca="false">SUMIFS('Invoice Register'!$F:$F,'Invoice Register'!$B:$B,$A12,'Invoice Register'!$G:$G,"&lt;&gt;")</f>
        <v>0</v>
      </c>
      <c r="F12" s="19" t="n">
        <f aca="false">C12-D12</f>
        <v>2100</v>
      </c>
      <c r="G12" s="20" t="s">
        <v>30</v>
      </c>
    </row>
    <row r="13" customFormat="false" ht="15" hidden="false" customHeight="true" outlineLevel="0" collapsed="false">
      <c r="A13" s="21" t="s">
        <v>31</v>
      </c>
      <c r="B13" s="22"/>
      <c r="C13" s="15" t="n">
        <f aca="false">C5+C6+C7</f>
        <v>54828.99</v>
      </c>
      <c r="D13" s="15" t="n">
        <f aca="false">D5+D6+D7</f>
        <v>39109.97</v>
      </c>
      <c r="E13" s="15" t="n">
        <f aca="false">E5+E6+E7</f>
        <v>39109.97</v>
      </c>
      <c r="F13" s="15" t="n">
        <f aca="false">F5+F6+F7</f>
        <v>15719.02</v>
      </c>
      <c r="G13" s="22"/>
    </row>
    <row r="14" customFormat="false" ht="15" hidden="false" customHeight="true" outlineLevel="0" collapsed="false">
      <c r="A14" s="23" t="s">
        <v>32</v>
      </c>
      <c r="B14" s="24"/>
      <c r="C14" s="25" t="n">
        <f aca="false">C8+C9+C10</f>
        <v>11140</v>
      </c>
      <c r="D14" s="25" t="n">
        <f aca="false">D8+D9+D10</f>
        <v>11130.7</v>
      </c>
      <c r="E14" s="25" t="n">
        <f aca="false">E8+E9+E10</f>
        <v>11130.7</v>
      </c>
      <c r="F14" s="25" t="n">
        <f aca="false">F8+F9+F10</f>
        <v>9.29999999999973</v>
      </c>
      <c r="G14" s="24"/>
    </row>
    <row r="15" customFormat="false" ht="15" hidden="false" customHeight="true" outlineLevel="0" collapsed="false">
      <c r="A15" s="26" t="s">
        <v>33</v>
      </c>
      <c r="B15" s="27"/>
      <c r="C15" s="28" t="n">
        <f aca="false">C11+C12+C13+C14</f>
        <v>69428.99</v>
      </c>
      <c r="D15" s="28" t="n">
        <f aca="false">D11+D12+D13</f>
        <v>39889.97</v>
      </c>
      <c r="E15" s="28" t="n">
        <f aca="false">E11+E12+E13</f>
        <v>39889.97</v>
      </c>
      <c r="F15" s="28" t="n">
        <f aca="false">F11+F12+F13</f>
        <v>18399.02</v>
      </c>
      <c r="G15" s="27"/>
    </row>
    <row r="16" customFormat="false" ht="15" hidden="false" customHeight="true" outlineLevel="0" collapsed="false">
      <c r="A16" s="3" t="s">
        <v>34</v>
      </c>
      <c r="B16" s="29" t="n">
        <f aca="false">'Contingency Drawdown'!$D$4</f>
        <v>4519.02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4" min="2" style="1" width="14"/>
    <col collapsed="false" customWidth="true" hidden="false" outlineLevel="0" max="5" min="5" style="1" width="55"/>
  </cols>
  <sheetData>
    <row r="1" customFormat="false" ht="19.5" hidden="false" customHeight="true" outlineLevel="0" collapsed="false">
      <c r="A1" s="2" t="s">
        <v>35</v>
      </c>
    </row>
    <row r="2" customFormat="false" ht="15" hidden="false" customHeight="true" outlineLevel="0" collapsed="false">
      <c r="A2" s="5" t="s">
        <v>36</v>
      </c>
    </row>
    <row r="4" customFormat="false" ht="15.75" hidden="false" customHeight="true" outlineLevel="0" collapsed="false">
      <c r="A4" s="30" t="s">
        <v>37</v>
      </c>
    </row>
    <row r="5" customFormat="false" ht="39.75" hidden="false" customHeight="true" outlineLevel="0" collapsed="false">
      <c r="A5" s="31" t="s">
        <v>38</v>
      </c>
      <c r="B5" s="31"/>
      <c r="C5" s="31"/>
      <c r="D5" s="31"/>
      <c r="E5" s="31"/>
    </row>
    <row r="7" customFormat="false" ht="43.5" hidden="false" customHeight="true" outlineLevel="0" collapsed="false">
      <c r="A7" s="32" t="s">
        <v>39</v>
      </c>
      <c r="B7" s="31" t="s">
        <v>40</v>
      </c>
      <c r="C7" s="31"/>
      <c r="D7" s="31"/>
      <c r="E7" s="31"/>
    </row>
    <row r="8" customFormat="false" ht="43.5" hidden="false" customHeight="true" outlineLevel="0" collapsed="false">
      <c r="A8" s="32" t="s">
        <v>41</v>
      </c>
      <c r="B8" s="31" t="s">
        <v>42</v>
      </c>
      <c r="C8" s="31"/>
      <c r="D8" s="31"/>
      <c r="E8" s="31"/>
    </row>
    <row r="9" customFormat="false" ht="43.5" hidden="false" customHeight="true" outlineLevel="0" collapsed="false">
      <c r="A9" s="32" t="s">
        <v>43</v>
      </c>
      <c r="B9" s="31" t="s">
        <v>44</v>
      </c>
      <c r="C9" s="31"/>
      <c r="D9" s="31"/>
      <c r="E9" s="31"/>
    </row>
    <row r="10" customFormat="false" ht="43.5" hidden="false" customHeight="true" outlineLevel="0" collapsed="false">
      <c r="A10" s="32" t="s">
        <v>45</v>
      </c>
      <c r="B10" s="31" t="s">
        <v>46</v>
      </c>
      <c r="C10" s="31"/>
      <c r="D10" s="31"/>
      <c r="E10" s="31"/>
    </row>
    <row r="11" customFormat="false" ht="43.5" hidden="false" customHeight="true" outlineLevel="0" collapsed="false">
      <c r="A11" s="32" t="s">
        <v>47</v>
      </c>
      <c r="B11" s="31" t="s">
        <v>48</v>
      </c>
      <c r="C11" s="31"/>
      <c r="D11" s="31"/>
      <c r="E11" s="31"/>
    </row>
    <row r="12" customFormat="false" ht="43.5" hidden="false" customHeight="true" outlineLevel="0" collapsed="false">
      <c r="A12" s="32" t="s">
        <v>49</v>
      </c>
      <c r="B12" s="31" t="s">
        <v>50</v>
      </c>
      <c r="C12" s="31"/>
      <c r="D12" s="31"/>
      <c r="E12" s="31"/>
    </row>
    <row r="13" customFormat="false" ht="55.5" hidden="false" customHeight="true" outlineLevel="0" collapsed="false">
      <c r="A13" s="32" t="s">
        <v>51</v>
      </c>
      <c r="B13" s="31" t="s">
        <v>52</v>
      </c>
      <c r="C13" s="31"/>
      <c r="D13" s="31"/>
      <c r="E13" s="31"/>
    </row>
    <row r="14" customFormat="false" ht="256.5" hidden="false" customHeight="true" outlineLevel="0" collapsed="false">
      <c r="A14" s="32" t="s">
        <v>53</v>
      </c>
      <c r="B14" s="33" t="s">
        <v>54</v>
      </c>
    </row>
    <row r="15" customFormat="false" ht="15.75" hidden="false" customHeight="true" outlineLevel="0" collapsed="false"/>
    <row r="16" customFormat="false" ht="15" hidden="false" customHeight="true" outlineLevel="0" collapsed="false">
      <c r="A16" s="30" t="s">
        <v>55</v>
      </c>
    </row>
    <row r="17" customFormat="false" ht="31.5" hidden="false" customHeight="true" outlineLevel="0" collapsed="false">
      <c r="A17" s="34" t="s">
        <v>3</v>
      </c>
      <c r="B17" s="35" t="s">
        <v>56</v>
      </c>
      <c r="C17" s="35" t="s">
        <v>57</v>
      </c>
      <c r="D17" s="35" t="s">
        <v>58</v>
      </c>
      <c r="E17" s="34" t="s">
        <v>59</v>
      </c>
    </row>
    <row r="18" customFormat="false" ht="31.5" hidden="false" customHeight="true" outlineLevel="0" collapsed="false">
      <c r="A18" s="8" t="s">
        <v>60</v>
      </c>
      <c r="B18" s="36" t="n">
        <v>3200</v>
      </c>
      <c r="C18" s="36" t="n">
        <v>3200</v>
      </c>
      <c r="D18" s="37" t="n">
        <v>0</v>
      </c>
      <c r="E18" s="8" t="s">
        <v>61</v>
      </c>
    </row>
    <row r="19" customFormat="false" ht="31.5" hidden="false" customHeight="true" outlineLevel="0" collapsed="false">
      <c r="A19" s="38" t="s">
        <v>62</v>
      </c>
      <c r="B19" s="39" t="n">
        <v>3800</v>
      </c>
      <c r="C19" s="39" t="n">
        <v>3610</v>
      </c>
      <c r="D19" s="40" t="n">
        <v>-190</v>
      </c>
      <c r="E19" s="38" t="s">
        <v>63</v>
      </c>
    </row>
    <row r="20" customFormat="false" ht="31.5" hidden="false" customHeight="true" outlineLevel="0" collapsed="false">
      <c r="A20" s="8" t="s">
        <v>64</v>
      </c>
      <c r="B20" s="36" t="n">
        <v>17600</v>
      </c>
      <c r="C20" s="36" t="n">
        <v>6400</v>
      </c>
      <c r="D20" s="41" t="n">
        <v>-11200</v>
      </c>
      <c r="E20" s="8" t="s">
        <v>65</v>
      </c>
    </row>
    <row r="21" customFormat="false" ht="31.5" hidden="false" customHeight="true" outlineLevel="0" collapsed="false">
      <c r="A21" s="8" t="s">
        <v>66</v>
      </c>
      <c r="B21" s="36" t="n">
        <v>32228.99</v>
      </c>
      <c r="C21" s="36" t="n">
        <v>32228.99</v>
      </c>
      <c r="D21" s="37" t="n">
        <v>0</v>
      </c>
      <c r="E21" s="8" t="s">
        <v>67</v>
      </c>
    </row>
    <row r="22" customFormat="false" ht="31.5" hidden="false" customHeight="true" outlineLevel="0" collapsed="false">
      <c r="A22" s="8" t="s">
        <v>68</v>
      </c>
      <c r="B22" s="36" t="n">
        <v>3200</v>
      </c>
      <c r="C22" s="36" t="n">
        <v>3200</v>
      </c>
      <c r="D22" s="37" t="n">
        <v>0</v>
      </c>
      <c r="E22" s="8" t="s">
        <v>69</v>
      </c>
    </row>
    <row r="23" customFormat="false" ht="31.5" hidden="false" customHeight="true" outlineLevel="0" collapsed="false">
      <c r="A23" s="38" t="s">
        <v>70</v>
      </c>
      <c r="B23" s="39" t="n">
        <v>1130</v>
      </c>
      <c r="C23" s="39" t="n">
        <v>1120.69</v>
      </c>
      <c r="D23" s="40" t="n">
        <v>-9.31</v>
      </c>
      <c r="E23" s="38" t="s">
        <v>71</v>
      </c>
    </row>
    <row r="24" customFormat="false" ht="31.5" hidden="false" customHeight="true" outlineLevel="0" collapsed="false">
      <c r="A24" s="14" t="s">
        <v>72</v>
      </c>
      <c r="B24" s="42" t="n">
        <v>1360</v>
      </c>
      <c r="C24" s="42" t="n">
        <v>780</v>
      </c>
      <c r="D24" s="43" t="n">
        <v>-580</v>
      </c>
      <c r="E24" s="14" t="s">
        <v>73</v>
      </c>
    </row>
    <row r="25" customFormat="false" ht="31.5" hidden="false" customHeight="true" outlineLevel="0" collapsed="false">
      <c r="A25" s="8" t="s">
        <v>74</v>
      </c>
      <c r="B25" s="36" t="n">
        <v>2100</v>
      </c>
      <c r="C25" s="36" t="n">
        <v>2100</v>
      </c>
      <c r="D25" s="37" t="n">
        <v>0</v>
      </c>
      <c r="E25" s="8" t="s">
        <v>75</v>
      </c>
    </row>
    <row r="26" customFormat="false" ht="54.75" hidden="false" customHeight="true" outlineLevel="0" collapsed="false">
      <c r="A26" s="8" t="s">
        <v>16</v>
      </c>
      <c r="B26" s="36" t="n">
        <v>5000</v>
      </c>
      <c r="C26" s="36" t="n">
        <v>480.98</v>
      </c>
      <c r="D26" s="41" t="n">
        <v>-4519.02</v>
      </c>
      <c r="E26" s="8" t="s">
        <v>76</v>
      </c>
    </row>
    <row r="27" customFormat="false" ht="15.75" hidden="false" customHeight="true" outlineLevel="0" collapsed="false">
      <c r="A27" s="44" t="s">
        <v>77</v>
      </c>
      <c r="B27" s="1" t="n">
        <v>69618.99</v>
      </c>
      <c r="C27" s="1" t="n">
        <v>53120.66</v>
      </c>
      <c r="D27" s="45" t="n">
        <v>-16498.33</v>
      </c>
    </row>
    <row r="28" customFormat="false" ht="43.5" hidden="false" customHeight="true" outlineLevel="0" collapsed="false">
      <c r="A28" s="46"/>
      <c r="B28" s="46"/>
      <c r="C28" s="46"/>
      <c r="D28" s="46"/>
      <c r="E28" s="46"/>
    </row>
    <row r="29" customFormat="false" ht="149.25" hidden="false" customHeight="true" outlineLevel="0" collapsed="false">
      <c r="A29" s="47" t="s">
        <v>78</v>
      </c>
    </row>
    <row r="30" customFormat="false" ht="15" hidden="false" customHeight="true" outlineLevel="0" collapsed="false">
      <c r="A30" s="33" t="s">
        <v>79</v>
      </c>
    </row>
    <row r="31" customFormat="false" ht="15" hidden="false" customHeight="true" outlineLevel="0" collapsed="false"/>
    <row r="32" customFormat="false" ht="15" hidden="false" customHeight="true" outlineLevel="0" collapsed="false">
      <c r="A32" s="33" t="s">
        <v>80</v>
      </c>
      <c r="C32" s="48" t="n">
        <v>4700</v>
      </c>
    </row>
    <row r="33" customFormat="false" ht="15" hidden="false" customHeight="true" outlineLevel="0" collapsed="false">
      <c r="A33" s="33" t="s">
        <v>81</v>
      </c>
      <c r="C33" s="48" t="n">
        <v>5310</v>
      </c>
    </row>
    <row r="34" customFormat="false" ht="27.75" hidden="false" customHeight="true" outlineLevel="0" collapsed="false">
      <c r="A34" s="33" t="s">
        <v>82</v>
      </c>
      <c r="C34" s="48" t="n">
        <v>17600</v>
      </c>
    </row>
    <row r="35" customFormat="false" ht="27.75" hidden="false" customHeight="true" outlineLevel="0" collapsed="false">
      <c r="A35" s="33" t="s">
        <v>83</v>
      </c>
      <c r="C35" s="48" t="n">
        <v>32228.99</v>
      </c>
    </row>
    <row r="36" customFormat="false" ht="27.75" hidden="false" customHeight="true" outlineLevel="0" collapsed="false">
      <c r="A36" s="33" t="s">
        <v>84</v>
      </c>
      <c r="C36" s="48" t="n">
        <v>1130</v>
      </c>
    </row>
    <row r="37" customFormat="false" ht="15" hidden="false" customHeight="true" outlineLevel="0" collapsed="false">
      <c r="A37" s="33" t="s">
        <v>85</v>
      </c>
      <c r="C37" s="48" t="n">
        <v>1360</v>
      </c>
    </row>
    <row r="38" customFormat="false" ht="27.75" hidden="false" customHeight="true" outlineLevel="0" collapsed="false">
      <c r="A38" s="33" t="s">
        <v>86</v>
      </c>
      <c r="C38" s="48" t="n">
        <v>5000</v>
      </c>
    </row>
    <row r="39" customFormat="false" ht="15" hidden="false" customHeight="true" outlineLevel="0" collapsed="false">
      <c r="A39" s="49" t="s">
        <v>87</v>
      </c>
      <c r="C39" s="48" t="n">
        <v>2100</v>
      </c>
    </row>
    <row r="40" customFormat="false" ht="15" hidden="false" customHeight="true" outlineLevel="0" collapsed="false">
      <c r="A40" s="50" t="s">
        <v>88</v>
      </c>
      <c r="B40" s="51"/>
      <c r="C40" s="52" t="n">
        <f aca="false">SUM(C32:C39)</f>
        <v>69428.99</v>
      </c>
      <c r="D40" s="51"/>
      <c r="E40" s="51"/>
    </row>
    <row r="41" customFormat="false" ht="15" hidden="false" customHeight="true" outlineLevel="0" collapsed="false">
      <c r="A41" s="50" t="s">
        <v>89</v>
      </c>
      <c r="B41" s="51"/>
      <c r="C41" s="52" t="n">
        <f aca="false">Summary!C15</f>
        <v>69428.99</v>
      </c>
      <c r="D41" s="51"/>
      <c r="E41" s="51"/>
    </row>
    <row r="42" customFormat="false" ht="15" hidden="false" customHeight="true" outlineLevel="0" collapsed="false">
      <c r="A42" s="50" t="s">
        <v>90</v>
      </c>
      <c r="B42" s="51"/>
      <c r="C42" s="53" t="n">
        <f aca="false">C40-C41</f>
        <v>0</v>
      </c>
      <c r="D42" s="51"/>
      <c r="E42" s="51"/>
    </row>
  </sheetData>
  <mergeCells count="9">
    <mergeCell ref="A5:E5"/>
    <mergeCell ref="B7:E7"/>
    <mergeCell ref="B8:E8"/>
    <mergeCell ref="B9:E9"/>
    <mergeCell ref="B10:E10"/>
    <mergeCell ref="B11:E11"/>
    <mergeCell ref="B12:E12"/>
    <mergeCell ref="B13:E13"/>
    <mergeCell ref="A28:E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4"/>
    <col collapsed="false" customWidth="true" hidden="false" outlineLevel="0" max="3" min="3" style="1" width="34"/>
    <col collapsed="false" customWidth="true" hidden="false" outlineLevel="0" max="5" min="4" style="1" width="30"/>
    <col collapsed="false" customWidth="true" hidden="false" outlineLevel="0" max="6" min="6" style="1" width="12"/>
    <col collapsed="false" customWidth="true" hidden="false" outlineLevel="0" max="7" min="7" style="1" width="20"/>
    <col collapsed="false" customWidth="true" hidden="false" outlineLevel="0" max="8" min="8" style="1" width="44"/>
  </cols>
  <sheetData>
    <row r="1" customFormat="false" ht="19.5" hidden="false" customHeight="true" outlineLevel="0" collapsed="false">
      <c r="A1" s="2" t="s">
        <v>91</v>
      </c>
    </row>
    <row r="2" customFormat="false" ht="15" hidden="false" customHeight="true" outlineLevel="0" collapsed="false">
      <c r="A2" s="5" t="s">
        <v>92</v>
      </c>
    </row>
    <row r="4" customFormat="false" ht="15" hidden="false" customHeight="true" outlineLevel="0" collapsed="false">
      <c r="A4" s="6" t="s">
        <v>93</v>
      </c>
      <c r="B4" s="6" t="s">
        <v>3</v>
      </c>
      <c r="C4" s="6" t="s">
        <v>94</v>
      </c>
      <c r="D4" s="6" t="s">
        <v>95</v>
      </c>
      <c r="E4" s="6" t="s">
        <v>96</v>
      </c>
      <c r="F4" s="6" t="s">
        <v>97</v>
      </c>
      <c r="G4" s="6" t="s">
        <v>98</v>
      </c>
      <c r="H4" s="6" t="s">
        <v>9</v>
      </c>
    </row>
    <row r="5" customFormat="false" ht="15" hidden="false" customHeight="true" outlineLevel="0" collapsed="false">
      <c r="A5" s="54" t="n">
        <v>1</v>
      </c>
      <c r="B5" s="8" t="s">
        <v>10</v>
      </c>
      <c r="C5" s="8" t="s">
        <v>99</v>
      </c>
      <c r="D5" s="8" t="s">
        <v>11</v>
      </c>
      <c r="E5" s="8" t="s">
        <v>100</v>
      </c>
      <c r="F5" s="18" t="n">
        <v>32228.99</v>
      </c>
      <c r="G5" s="55" t="s">
        <v>101</v>
      </c>
      <c r="H5" s="8"/>
    </row>
    <row r="6" customFormat="false" ht="15" hidden="false" customHeight="true" outlineLevel="0" collapsed="false">
      <c r="A6" s="54" t="n">
        <v>2</v>
      </c>
      <c r="B6" s="8" t="s">
        <v>102</v>
      </c>
      <c r="C6" s="8" t="s">
        <v>103</v>
      </c>
      <c r="D6" s="8" t="s">
        <v>104</v>
      </c>
      <c r="E6" s="8" t="s">
        <v>105</v>
      </c>
      <c r="F6" s="18" t="n">
        <v>2000</v>
      </c>
      <c r="G6" s="55" t="s">
        <v>101</v>
      </c>
      <c r="H6" s="8" t="s">
        <v>106</v>
      </c>
    </row>
    <row r="7" customFormat="false" ht="15" hidden="false" customHeight="true" outlineLevel="0" collapsed="false">
      <c r="A7" s="54" t="n">
        <v>3</v>
      </c>
      <c r="B7" s="8" t="s">
        <v>102</v>
      </c>
      <c r="C7" s="8" t="s">
        <v>107</v>
      </c>
      <c r="D7" s="8" t="s">
        <v>104</v>
      </c>
      <c r="E7" s="8" t="s">
        <v>108</v>
      </c>
      <c r="F7" s="18" t="n">
        <v>1200</v>
      </c>
      <c r="G7" s="56" t="s">
        <v>109</v>
      </c>
      <c r="H7" s="8" t="s">
        <v>110</v>
      </c>
    </row>
    <row r="8" customFormat="false" ht="15" hidden="false" customHeight="true" outlineLevel="0" collapsed="false">
      <c r="A8" s="54" t="n">
        <v>4</v>
      </c>
      <c r="B8" s="8" t="s">
        <v>19</v>
      </c>
      <c r="C8" s="8" t="s">
        <v>111</v>
      </c>
      <c r="D8" s="8" t="s">
        <v>14</v>
      </c>
      <c r="E8" s="8" t="s">
        <v>112</v>
      </c>
      <c r="F8" s="18" t="n">
        <v>3200</v>
      </c>
      <c r="G8" s="55" t="s">
        <v>101</v>
      </c>
      <c r="H8" s="8" t="s">
        <v>113</v>
      </c>
    </row>
    <row r="9" customFormat="false" ht="15" hidden="false" customHeight="true" outlineLevel="0" collapsed="false">
      <c r="A9" s="54" t="n">
        <v>5</v>
      </c>
      <c r="B9" s="8" t="s">
        <v>21</v>
      </c>
      <c r="C9" s="8" t="s">
        <v>114</v>
      </c>
      <c r="D9" s="8" t="s">
        <v>14</v>
      </c>
      <c r="E9" s="8" t="s">
        <v>115</v>
      </c>
      <c r="F9" s="18" t="n">
        <v>1710</v>
      </c>
      <c r="G9" s="55" t="s">
        <v>101</v>
      </c>
      <c r="H9" s="8" t="s">
        <v>116</v>
      </c>
    </row>
    <row r="10" customFormat="false" ht="15" hidden="false" customHeight="true" outlineLevel="0" collapsed="false">
      <c r="A10" s="54" t="n">
        <v>6</v>
      </c>
      <c r="B10" s="8" t="s">
        <v>21</v>
      </c>
      <c r="C10" s="8" t="s">
        <v>117</v>
      </c>
      <c r="D10" s="8" t="s">
        <v>14</v>
      </c>
      <c r="E10" s="8" t="s">
        <v>118</v>
      </c>
      <c r="F10" s="18" t="n">
        <v>1900</v>
      </c>
      <c r="G10" s="56" t="s">
        <v>119</v>
      </c>
      <c r="H10" s="8" t="s">
        <v>120</v>
      </c>
    </row>
    <row r="11" customFormat="false" ht="41.25" hidden="false" customHeight="true" outlineLevel="0" collapsed="false">
      <c r="A11" s="54" t="n">
        <v>7</v>
      </c>
      <c r="B11" s="8" t="s">
        <v>16</v>
      </c>
      <c r="C11" s="8" t="s">
        <v>121</v>
      </c>
      <c r="D11" s="8" t="s">
        <v>14</v>
      </c>
      <c r="E11" s="8" t="s">
        <v>122</v>
      </c>
      <c r="F11" s="18" t="n">
        <v>0</v>
      </c>
      <c r="G11" s="57" t="s">
        <v>119</v>
      </c>
      <c r="H11" s="8" t="s">
        <v>123</v>
      </c>
    </row>
    <row r="12" customFormat="false" ht="27.75" hidden="false" customHeight="true" outlineLevel="0" collapsed="false">
      <c r="A12" s="54" t="n">
        <v>8</v>
      </c>
      <c r="B12" s="8" t="s">
        <v>13</v>
      </c>
      <c r="C12" s="8" t="s">
        <v>124</v>
      </c>
      <c r="D12" s="8" t="s">
        <v>14</v>
      </c>
      <c r="E12" s="8" t="s">
        <v>125</v>
      </c>
      <c r="F12" s="18" t="n">
        <v>17600</v>
      </c>
      <c r="G12" s="56" t="s">
        <v>126</v>
      </c>
      <c r="H12" s="8" t="s">
        <v>127</v>
      </c>
    </row>
    <row r="13" customFormat="false" ht="27.75" hidden="false" customHeight="true" outlineLevel="0" collapsed="false">
      <c r="A13" s="54" t="n">
        <v>9</v>
      </c>
      <c r="B13" s="8" t="s">
        <v>23</v>
      </c>
      <c r="C13" s="8" t="s">
        <v>128</v>
      </c>
      <c r="D13" s="8" t="s">
        <v>129</v>
      </c>
      <c r="E13" s="8" t="s">
        <v>130</v>
      </c>
      <c r="F13" s="18" t="n">
        <v>1130</v>
      </c>
      <c r="G13" s="56" t="s">
        <v>131</v>
      </c>
      <c r="H13" s="8" t="s">
        <v>132</v>
      </c>
    </row>
    <row r="14" customFormat="false" ht="15" hidden="false" customHeight="true" outlineLevel="0" collapsed="false">
      <c r="A14" s="54" t="n">
        <v>10</v>
      </c>
      <c r="B14" s="8" t="s">
        <v>16</v>
      </c>
      <c r="C14" s="8" t="s">
        <v>133</v>
      </c>
      <c r="D14" s="8" t="s">
        <v>134</v>
      </c>
      <c r="E14" s="8" t="s">
        <v>135</v>
      </c>
      <c r="F14" s="18" t="n">
        <v>5000</v>
      </c>
      <c r="G14" s="56" t="s">
        <v>136</v>
      </c>
      <c r="H14" s="8" t="s">
        <v>137</v>
      </c>
    </row>
    <row r="15" customFormat="false" ht="15" hidden="false" customHeight="true" outlineLevel="0" collapsed="false">
      <c r="A15" s="54" t="n">
        <v>11</v>
      </c>
      <c r="B15" s="8" t="s">
        <v>16</v>
      </c>
      <c r="C15" s="8" t="s">
        <v>138</v>
      </c>
      <c r="D15" s="8" t="s">
        <v>139</v>
      </c>
      <c r="E15" s="8" t="s">
        <v>140</v>
      </c>
      <c r="F15" s="18" t="n">
        <v>0</v>
      </c>
      <c r="G15" s="55" t="s">
        <v>101</v>
      </c>
      <c r="H15" s="8" t="s">
        <v>141</v>
      </c>
    </row>
    <row r="16" customFormat="false" ht="15" hidden="false" customHeight="true" outlineLevel="0" collapsed="false">
      <c r="A16" s="54" t="n">
        <v>11</v>
      </c>
      <c r="B16" s="8" t="s">
        <v>26</v>
      </c>
      <c r="C16" s="8" t="s">
        <v>142</v>
      </c>
      <c r="D16" s="8" t="s">
        <v>27</v>
      </c>
      <c r="E16" s="8" t="s">
        <v>143</v>
      </c>
      <c r="F16" s="19" t="n">
        <v>1360</v>
      </c>
      <c r="G16" s="56" t="s">
        <v>144</v>
      </c>
      <c r="H16" s="8" t="s">
        <v>145</v>
      </c>
    </row>
    <row r="17" customFormat="false" ht="15" hidden="false" customHeight="true" outlineLevel="0" collapsed="false">
      <c r="A17" s="54" t="n">
        <v>9</v>
      </c>
      <c r="B17" s="8" t="s">
        <v>29</v>
      </c>
      <c r="C17" s="8" t="s">
        <v>146</v>
      </c>
      <c r="D17" s="54" t="s">
        <v>14</v>
      </c>
      <c r="E17" s="8" t="s">
        <v>147</v>
      </c>
      <c r="F17" s="19" t="n">
        <v>2100</v>
      </c>
      <c r="G17" s="54" t="s">
        <v>148</v>
      </c>
      <c r="H17" s="8" t="s">
        <v>149</v>
      </c>
    </row>
    <row r="18" customFormat="false" ht="15" hidden="false" customHeight="true" outlineLevel="0" collapsed="false">
      <c r="A18" s="54"/>
      <c r="B18" s="54"/>
      <c r="C18" s="54"/>
      <c r="D18" s="54"/>
      <c r="E18" s="7" t="s">
        <v>150</v>
      </c>
      <c r="F18" s="58" t="n">
        <f aca="false">SUM(F5:F17)</f>
        <v>69428.99</v>
      </c>
      <c r="G18" s="54"/>
      <c r="H18" s="54"/>
    </row>
    <row r="19" customFormat="false" ht="15" hidden="false" customHeight="true" outlineLevel="0" collapsed="false">
      <c r="A19" s="59"/>
      <c r="B19" s="59"/>
      <c r="C19" s="59"/>
      <c r="D19" s="59"/>
      <c r="E19" s="60" t="s">
        <v>151</v>
      </c>
      <c r="F19" s="61" t="n">
        <f aca="false">Summary!$C$15</f>
        <v>69428.99</v>
      </c>
      <c r="G19" s="59"/>
      <c r="H19" s="59"/>
    </row>
    <row r="20" customFormat="false" ht="15" hidden="false" customHeight="true" outlineLevel="0" collapsed="false">
      <c r="A20" s="59"/>
      <c r="B20" s="59"/>
      <c r="C20" s="59"/>
      <c r="D20" s="59"/>
      <c r="E20" s="60" t="s">
        <v>152</v>
      </c>
      <c r="F20" s="61" t="n">
        <f aca="false">F18-F19</f>
        <v>0</v>
      </c>
      <c r="G20" s="59"/>
      <c r="H20" s="59"/>
    </row>
    <row r="21" customFormat="false" ht="15" hidden="false" customHeight="true" outlineLevel="0" collapsed="false">
      <c r="A21" s="59"/>
      <c r="B21" s="59"/>
      <c r="C21" s="59"/>
      <c r="D21" s="59"/>
      <c r="E21" s="59"/>
      <c r="F21" s="59"/>
      <c r="G21" s="59"/>
      <c r="H21" s="59"/>
    </row>
    <row r="22"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4"/>
    <col collapsed="false" customWidth="true" hidden="false" outlineLevel="0" max="3" min="3" style="1" width="52"/>
    <col collapsed="false" customWidth="true" hidden="false" outlineLevel="0" max="4" min="4" style="1" width="7"/>
    <col collapsed="false" customWidth="true" hidden="false" outlineLevel="0" max="5" min="5" style="1" width="10"/>
    <col collapsed="false" customWidth="true" hidden="false" outlineLevel="0" max="6" min="6" style="1" width="13"/>
    <col collapsed="false" customWidth="true" hidden="false" outlineLevel="0" max="7" min="7" style="1" width="10"/>
    <col collapsed="false" customWidth="true" hidden="false" outlineLevel="0" max="8" min="8" style="1" width="20"/>
    <col collapsed="false" customWidth="true" hidden="false" outlineLevel="0" max="9" min="9" style="1" width="44"/>
  </cols>
  <sheetData>
    <row r="1" customFormat="false" ht="19.5" hidden="false" customHeight="true" outlineLevel="0" collapsed="false">
      <c r="A1" s="2" t="s">
        <v>153</v>
      </c>
    </row>
    <row r="2" customFormat="false" ht="15" hidden="false" customHeight="true" outlineLevel="0" collapsed="false">
      <c r="A2" s="5" t="s">
        <v>154</v>
      </c>
    </row>
    <row r="4" customFormat="false" ht="15" hidden="false" customHeight="true" outlineLevel="0" collapsed="false">
      <c r="A4" s="6" t="s">
        <v>3</v>
      </c>
      <c r="B4" s="6" t="s">
        <v>4</v>
      </c>
      <c r="C4" s="6" t="s">
        <v>155</v>
      </c>
      <c r="D4" s="6" t="s">
        <v>156</v>
      </c>
      <c r="E4" s="6" t="s">
        <v>157</v>
      </c>
      <c r="F4" s="6" t="s">
        <v>158</v>
      </c>
      <c r="G4" s="6" t="s">
        <v>159</v>
      </c>
      <c r="H4" s="6" t="s">
        <v>160</v>
      </c>
      <c r="I4" s="6" t="s">
        <v>9</v>
      </c>
    </row>
    <row r="5" customFormat="false" ht="27.75" hidden="false" customHeight="true" outlineLevel="0" collapsed="false">
      <c r="A5" s="8" t="s">
        <v>19</v>
      </c>
      <c r="B5" s="8" t="s">
        <v>161</v>
      </c>
      <c r="C5" s="8" t="s">
        <v>162</v>
      </c>
      <c r="D5" s="58"/>
      <c r="E5" s="58"/>
      <c r="F5" s="18" t="n">
        <v>3200</v>
      </c>
      <c r="G5" s="58" t="s">
        <v>163</v>
      </c>
      <c r="H5" s="8" t="s">
        <v>164</v>
      </c>
      <c r="I5" s="11" t="s">
        <v>165</v>
      </c>
    </row>
    <row r="6" customFormat="false" ht="15" hidden="false" customHeight="true" outlineLevel="0" collapsed="false">
      <c r="A6" s="8" t="s">
        <v>19</v>
      </c>
      <c r="B6" s="8" t="s">
        <v>166</v>
      </c>
      <c r="C6" s="8" t="s">
        <v>167</v>
      </c>
      <c r="D6" s="58"/>
      <c r="E6" s="58"/>
      <c r="F6" s="18" t="n">
        <v>1500</v>
      </c>
      <c r="G6" s="58" t="s">
        <v>168</v>
      </c>
      <c r="H6" s="8" t="s">
        <v>169</v>
      </c>
      <c r="I6" s="11" t="s">
        <v>170</v>
      </c>
    </row>
    <row r="7" customFormat="false" ht="15" hidden="false" customHeight="true" outlineLevel="0" collapsed="false">
      <c r="A7" s="8" t="s">
        <v>23</v>
      </c>
      <c r="B7" s="8" t="s">
        <v>24</v>
      </c>
      <c r="C7" s="8" t="s">
        <v>171</v>
      </c>
      <c r="D7" s="58"/>
      <c r="E7" s="58"/>
      <c r="F7" s="18" t="n">
        <v>480</v>
      </c>
      <c r="G7" s="58" t="s">
        <v>168</v>
      </c>
      <c r="H7" s="8" t="s">
        <v>172</v>
      </c>
      <c r="I7" s="11"/>
    </row>
    <row r="8" customFormat="false" ht="15" hidden="false" customHeight="true" outlineLevel="0" collapsed="false">
      <c r="A8" s="8" t="s">
        <v>19</v>
      </c>
      <c r="B8" s="8" t="s">
        <v>161</v>
      </c>
      <c r="C8" s="8" t="s">
        <v>173</v>
      </c>
      <c r="D8" s="58"/>
      <c r="E8" s="58"/>
      <c r="F8" s="18" t="n">
        <v>0</v>
      </c>
      <c r="G8" s="58" t="s">
        <v>168</v>
      </c>
      <c r="H8" s="8" t="s">
        <v>164</v>
      </c>
      <c r="I8" s="11" t="s">
        <v>174</v>
      </c>
    </row>
    <row r="9" customFormat="false" ht="27.75" hidden="false" customHeight="true" outlineLevel="0" collapsed="false">
      <c r="A9" s="8" t="s">
        <v>21</v>
      </c>
      <c r="B9" s="8" t="s">
        <v>161</v>
      </c>
      <c r="C9" s="8" t="s">
        <v>175</v>
      </c>
      <c r="D9" s="58"/>
      <c r="E9" s="58"/>
      <c r="F9" s="18" t="n">
        <v>3610</v>
      </c>
      <c r="G9" s="58" t="s">
        <v>163</v>
      </c>
      <c r="H9" s="8" t="s">
        <v>164</v>
      </c>
      <c r="I9" s="12" t="s">
        <v>176</v>
      </c>
    </row>
    <row r="10" customFormat="false" ht="15" hidden="false" customHeight="true" outlineLevel="0" collapsed="false">
      <c r="A10" s="8" t="s">
        <v>21</v>
      </c>
      <c r="B10" s="8" t="s">
        <v>166</v>
      </c>
      <c r="C10" s="8" t="s">
        <v>177</v>
      </c>
      <c r="D10" s="58"/>
      <c r="E10" s="58"/>
      <c r="F10" s="18" t="n">
        <v>1700</v>
      </c>
      <c r="G10" s="58" t="s">
        <v>168</v>
      </c>
      <c r="H10" s="8" t="s">
        <v>169</v>
      </c>
      <c r="I10" s="11" t="s">
        <v>170</v>
      </c>
    </row>
    <row r="11" customFormat="false" ht="15" hidden="false" customHeight="true" outlineLevel="0" collapsed="false">
      <c r="A11" s="8" t="s">
        <v>23</v>
      </c>
      <c r="B11" s="8" t="s">
        <v>24</v>
      </c>
      <c r="C11" s="8" t="s">
        <v>178</v>
      </c>
      <c r="D11" s="58"/>
      <c r="E11" s="58"/>
      <c r="F11" s="18" t="n">
        <v>650</v>
      </c>
      <c r="G11" s="58" t="s">
        <v>168</v>
      </c>
      <c r="H11" s="8" t="s">
        <v>172</v>
      </c>
      <c r="I11" s="11"/>
    </row>
    <row r="12" customFormat="false" ht="15" hidden="false" customHeight="true" outlineLevel="0" collapsed="false">
      <c r="A12" s="8" t="s">
        <v>21</v>
      </c>
      <c r="B12" s="8" t="s">
        <v>161</v>
      </c>
      <c r="C12" s="8" t="s">
        <v>173</v>
      </c>
      <c r="D12" s="58"/>
      <c r="E12" s="58"/>
      <c r="F12" s="18" t="n">
        <v>0</v>
      </c>
      <c r="G12" s="58" t="s">
        <v>168</v>
      </c>
      <c r="H12" s="8" t="s">
        <v>164</v>
      </c>
      <c r="I12" s="11" t="s">
        <v>179</v>
      </c>
    </row>
    <row r="13" customFormat="false" ht="27.75" hidden="false" customHeight="true" outlineLevel="0" collapsed="false">
      <c r="A13" s="8" t="s">
        <v>13</v>
      </c>
      <c r="B13" s="8" t="s">
        <v>161</v>
      </c>
      <c r="C13" s="8" t="s">
        <v>180</v>
      </c>
      <c r="D13" s="58"/>
      <c r="E13" s="58"/>
      <c r="F13" s="18" t="n">
        <v>17600</v>
      </c>
      <c r="G13" s="58" t="s">
        <v>163</v>
      </c>
      <c r="H13" s="8" t="s">
        <v>164</v>
      </c>
      <c r="I13" s="12" t="s">
        <v>181</v>
      </c>
    </row>
    <row r="14" customFormat="false" ht="15" hidden="false" customHeight="true" outlineLevel="0" collapsed="false">
      <c r="A14" s="8" t="s">
        <v>13</v>
      </c>
      <c r="B14" s="8" t="s">
        <v>161</v>
      </c>
      <c r="C14" s="8" t="s">
        <v>182</v>
      </c>
      <c r="D14" s="58"/>
      <c r="E14" s="58"/>
      <c r="F14" s="18" t="n">
        <v>0</v>
      </c>
      <c r="G14" s="58" t="s">
        <v>168</v>
      </c>
      <c r="H14" s="8" t="s">
        <v>164</v>
      </c>
      <c r="I14" s="11" t="s">
        <v>183</v>
      </c>
    </row>
    <row r="15" customFormat="false" ht="15" hidden="false" customHeight="true" outlineLevel="0" collapsed="false">
      <c r="A15" s="8" t="s">
        <v>10</v>
      </c>
      <c r="B15" s="8" t="s">
        <v>184</v>
      </c>
      <c r="C15" s="8" t="s">
        <v>185</v>
      </c>
      <c r="D15" s="58" t="n">
        <v>230</v>
      </c>
      <c r="E15" s="18" t="n">
        <v>66.49</v>
      </c>
      <c r="F15" s="18" t="n">
        <v>15292.7</v>
      </c>
      <c r="G15" s="58" t="s">
        <v>186</v>
      </c>
      <c r="H15" s="8" t="s">
        <v>187</v>
      </c>
      <c r="I15" s="11"/>
    </row>
    <row r="16" customFormat="false" ht="15" hidden="false" customHeight="true" outlineLevel="0" collapsed="false">
      <c r="A16" s="8" t="s">
        <v>10</v>
      </c>
      <c r="B16" s="8" t="s">
        <v>184</v>
      </c>
      <c r="C16" s="8" t="s">
        <v>188</v>
      </c>
      <c r="D16" s="58" t="n">
        <v>18</v>
      </c>
      <c r="E16" s="18" t="n">
        <v>58.09</v>
      </c>
      <c r="F16" s="18" t="n">
        <v>1045.62</v>
      </c>
      <c r="G16" s="58" t="s">
        <v>186</v>
      </c>
      <c r="H16" s="8" t="s">
        <v>187</v>
      </c>
      <c r="I16" s="11"/>
    </row>
    <row r="17" customFormat="false" ht="27.75" hidden="false" customHeight="true" outlineLevel="0" collapsed="false">
      <c r="A17" s="8" t="s">
        <v>10</v>
      </c>
      <c r="B17" s="8" t="s">
        <v>184</v>
      </c>
      <c r="C17" s="8" t="s">
        <v>189</v>
      </c>
      <c r="D17" s="58" t="n">
        <v>15</v>
      </c>
      <c r="E17" s="18" t="n">
        <v>72.25</v>
      </c>
      <c r="F17" s="18" t="n">
        <v>1083.75</v>
      </c>
      <c r="G17" s="58" t="s">
        <v>186</v>
      </c>
      <c r="H17" s="8" t="s">
        <v>187</v>
      </c>
      <c r="I17" s="11" t="s">
        <v>190</v>
      </c>
    </row>
    <row r="18" customFormat="false" ht="15" hidden="false" customHeight="true" outlineLevel="0" collapsed="false">
      <c r="A18" s="8" t="s">
        <v>10</v>
      </c>
      <c r="B18" s="8" t="s">
        <v>184</v>
      </c>
      <c r="C18" s="8" t="s">
        <v>191</v>
      </c>
      <c r="D18" s="58" t="n">
        <v>15</v>
      </c>
      <c r="E18" s="18" t="n">
        <v>59.89</v>
      </c>
      <c r="F18" s="18" t="n">
        <v>898.35</v>
      </c>
      <c r="G18" s="58" t="s">
        <v>186</v>
      </c>
      <c r="H18" s="8" t="s">
        <v>187</v>
      </c>
      <c r="I18" s="11"/>
    </row>
    <row r="19" customFormat="false" ht="15" hidden="false" customHeight="true" outlineLevel="0" collapsed="false">
      <c r="A19" s="8" t="s">
        <v>10</v>
      </c>
      <c r="B19" s="8" t="s">
        <v>184</v>
      </c>
      <c r="C19" s="8" t="s">
        <v>192</v>
      </c>
      <c r="D19" s="58" t="n">
        <v>24</v>
      </c>
      <c r="E19" s="18" t="n">
        <v>32.08</v>
      </c>
      <c r="F19" s="18" t="n">
        <v>770</v>
      </c>
      <c r="G19" s="58" t="s">
        <v>186</v>
      </c>
      <c r="H19" s="8" t="s">
        <v>187</v>
      </c>
      <c r="I19" s="11"/>
    </row>
    <row r="20" customFormat="false" ht="15" hidden="false" customHeight="true" outlineLevel="0" collapsed="false">
      <c r="A20" s="8" t="s">
        <v>10</v>
      </c>
      <c r="B20" s="8" t="s">
        <v>184</v>
      </c>
      <c r="C20" s="8" t="s">
        <v>193</v>
      </c>
      <c r="D20" s="58" t="n">
        <v>6</v>
      </c>
      <c r="E20" s="18" t="n">
        <v>10.25</v>
      </c>
      <c r="F20" s="18" t="n">
        <v>61.5</v>
      </c>
      <c r="G20" s="58" t="s">
        <v>186</v>
      </c>
      <c r="H20" s="8" t="s">
        <v>187</v>
      </c>
      <c r="I20" s="11"/>
    </row>
    <row r="21" customFormat="false" ht="27.75" hidden="false" customHeight="true" outlineLevel="0" collapsed="false">
      <c r="A21" s="8" t="s">
        <v>10</v>
      </c>
      <c r="B21" s="8" t="s">
        <v>184</v>
      </c>
      <c r="C21" s="8" t="s">
        <v>194</v>
      </c>
      <c r="D21" s="58" t="n">
        <v>266</v>
      </c>
      <c r="E21" s="18" t="n">
        <v>28.4</v>
      </c>
      <c r="F21" s="18" t="n">
        <v>7554.4</v>
      </c>
      <c r="G21" s="58" t="s">
        <v>186</v>
      </c>
      <c r="H21" s="8" t="s">
        <v>187</v>
      </c>
      <c r="I21" s="11" t="s">
        <v>195</v>
      </c>
    </row>
    <row r="22" customFormat="false" ht="15" hidden="false" customHeight="true" outlineLevel="0" collapsed="false">
      <c r="A22" s="8" t="s">
        <v>10</v>
      </c>
      <c r="B22" s="8" t="s">
        <v>184</v>
      </c>
      <c r="C22" s="8" t="s">
        <v>196</v>
      </c>
      <c r="D22" s="58" t="n">
        <v>16</v>
      </c>
      <c r="E22" s="18" t="n">
        <v>7.87</v>
      </c>
      <c r="F22" s="18" t="n">
        <v>125.92</v>
      </c>
      <c r="G22" s="58" t="s">
        <v>186</v>
      </c>
      <c r="H22" s="8" t="s">
        <v>187</v>
      </c>
      <c r="I22" s="11" t="s">
        <v>197</v>
      </c>
    </row>
    <row r="23" customFormat="false" ht="15" hidden="false" customHeight="true" outlineLevel="0" collapsed="false">
      <c r="A23" s="8" t="s">
        <v>10</v>
      </c>
      <c r="B23" s="8" t="s">
        <v>184</v>
      </c>
      <c r="C23" s="8" t="s">
        <v>198</v>
      </c>
      <c r="D23" s="58" t="n">
        <v>1</v>
      </c>
      <c r="E23" s="18" t="n">
        <v>15</v>
      </c>
      <c r="F23" s="18" t="n">
        <v>15</v>
      </c>
      <c r="G23" s="58" t="s">
        <v>186</v>
      </c>
      <c r="H23" s="8" t="s">
        <v>187</v>
      </c>
      <c r="I23" s="11"/>
    </row>
    <row r="24" customFormat="false" ht="15" hidden="false" customHeight="true" outlineLevel="0" collapsed="false">
      <c r="A24" s="8" t="s">
        <v>10</v>
      </c>
      <c r="B24" s="8" t="s">
        <v>184</v>
      </c>
      <c r="C24" s="8" t="s">
        <v>199</v>
      </c>
      <c r="D24" s="58" t="n">
        <v>1</v>
      </c>
      <c r="E24" s="18" t="n">
        <v>10.25</v>
      </c>
      <c r="F24" s="18" t="n">
        <v>10.25</v>
      </c>
      <c r="G24" s="58" t="s">
        <v>186</v>
      </c>
      <c r="H24" s="8" t="s">
        <v>187</v>
      </c>
      <c r="I24" s="11"/>
    </row>
    <row r="25" customFormat="false" ht="15" hidden="false" customHeight="true" outlineLevel="0" collapsed="false">
      <c r="A25" s="8" t="s">
        <v>10</v>
      </c>
      <c r="B25" s="8" t="s">
        <v>184</v>
      </c>
      <c r="C25" s="8" t="s">
        <v>200</v>
      </c>
      <c r="D25" s="58"/>
      <c r="E25" s="58"/>
      <c r="F25" s="18" t="n">
        <v>5371.5</v>
      </c>
      <c r="G25" s="58" t="s">
        <v>159</v>
      </c>
      <c r="H25" s="8" t="s">
        <v>187</v>
      </c>
      <c r="I25" s="11" t="s">
        <v>201</v>
      </c>
    </row>
    <row r="26" customFormat="false" ht="27.75" hidden="false" customHeight="true" outlineLevel="0" collapsed="false">
      <c r="A26" s="8" t="s">
        <v>16</v>
      </c>
      <c r="B26" s="8" t="s">
        <v>202</v>
      </c>
      <c r="C26" s="8" t="s">
        <v>203</v>
      </c>
      <c r="D26" s="58"/>
      <c r="E26" s="58"/>
      <c r="F26" s="18" t="n">
        <v>5000</v>
      </c>
      <c r="G26" s="58" t="s">
        <v>17</v>
      </c>
      <c r="H26" s="8" t="s">
        <v>204</v>
      </c>
      <c r="I26" s="11" t="s">
        <v>205</v>
      </c>
    </row>
    <row r="27" customFormat="false" ht="15" hidden="false" customHeight="true" outlineLevel="0" collapsed="false">
      <c r="A27" s="8" t="s">
        <v>16</v>
      </c>
      <c r="B27" s="8" t="s">
        <v>14</v>
      </c>
      <c r="C27" s="8" t="s">
        <v>206</v>
      </c>
      <c r="D27" s="58"/>
      <c r="E27" s="58"/>
      <c r="F27" s="18" t="n">
        <v>250</v>
      </c>
      <c r="G27" s="58" t="s">
        <v>202</v>
      </c>
      <c r="H27" s="8" t="s">
        <v>207</v>
      </c>
      <c r="I27" s="8" t="s">
        <v>208</v>
      </c>
    </row>
    <row r="28" customFormat="false" ht="15" hidden="false" customHeight="true" outlineLevel="0" collapsed="false">
      <c r="A28" s="8" t="s">
        <v>16</v>
      </c>
      <c r="B28" s="8" t="s">
        <v>209</v>
      </c>
      <c r="C28" s="8" t="s">
        <v>210</v>
      </c>
      <c r="D28" s="58" t="n">
        <v>1</v>
      </c>
      <c r="E28" s="18" t="n">
        <v>62.9</v>
      </c>
      <c r="F28" s="18" t="n">
        <v>62.9</v>
      </c>
      <c r="G28" s="58" t="s">
        <v>168</v>
      </c>
      <c r="H28" s="8" t="s">
        <v>211</v>
      </c>
      <c r="I28" s="8" t="s">
        <v>212</v>
      </c>
    </row>
    <row r="29" customFormat="false" ht="15" hidden="false" customHeight="true" outlineLevel="0" collapsed="false">
      <c r="A29" s="54" t="s">
        <v>23</v>
      </c>
      <c r="B29" s="54" t="s">
        <v>213</v>
      </c>
      <c r="C29" s="8" t="s">
        <v>214</v>
      </c>
      <c r="D29" s="54"/>
      <c r="E29" s="54"/>
      <c r="F29" s="54" t="n">
        <v>481.26</v>
      </c>
      <c r="G29" s="54" t="s">
        <v>168</v>
      </c>
      <c r="H29" s="54" t="s">
        <v>215</v>
      </c>
      <c r="I29" s="8" t="s">
        <v>216</v>
      </c>
    </row>
    <row r="30" customFormat="false" ht="15" hidden="false" customHeight="true" outlineLevel="0" collapsed="false">
      <c r="A30" s="54"/>
      <c r="B30" s="54"/>
      <c r="C30" s="8" t="s">
        <v>217</v>
      </c>
      <c r="D30" s="54"/>
      <c r="E30" s="54"/>
      <c r="F30" s="54" t="n">
        <v>0</v>
      </c>
      <c r="G30" s="54" t="s">
        <v>168</v>
      </c>
      <c r="H30" s="54" t="s">
        <v>215</v>
      </c>
      <c r="I30" s="8" t="s">
        <v>218</v>
      </c>
    </row>
    <row r="31" customFormat="false" ht="68.25" hidden="false" customHeight="true" outlineLevel="0" collapsed="false">
      <c r="A31" s="54" t="s">
        <v>16</v>
      </c>
      <c r="B31" s="54" t="s">
        <v>11</v>
      </c>
      <c r="C31" s="8" t="s">
        <v>219</v>
      </c>
      <c r="D31" s="54"/>
      <c r="E31" s="54"/>
      <c r="F31" s="54" t="n">
        <v>141.66</v>
      </c>
      <c r="G31" s="54" t="s">
        <v>168</v>
      </c>
      <c r="H31" s="54" t="s">
        <v>220</v>
      </c>
      <c r="I31" s="8" t="s">
        <v>221</v>
      </c>
    </row>
    <row r="32" customFormat="false" ht="54.75" hidden="false" customHeight="true" outlineLevel="0" collapsed="false">
      <c r="A32" s="54" t="s">
        <v>16</v>
      </c>
      <c r="B32" s="54" t="s">
        <v>11</v>
      </c>
      <c r="C32" s="8" t="s">
        <v>222</v>
      </c>
      <c r="D32" s="54"/>
      <c r="E32" s="54"/>
      <c r="F32" s="62" t="n">
        <v>141.66</v>
      </c>
      <c r="G32" s="54" t="s">
        <v>223</v>
      </c>
      <c r="H32" s="54" t="s">
        <v>224</v>
      </c>
      <c r="I32" s="8" t="s">
        <v>225</v>
      </c>
    </row>
    <row r="33" customFormat="false" ht="15" hidden="false" customHeight="true" outlineLevel="0" collapsed="false">
      <c r="A33" s="54" t="s">
        <v>16</v>
      </c>
      <c r="B33" s="54" t="s">
        <v>226</v>
      </c>
      <c r="C33" s="8" t="s">
        <v>227</v>
      </c>
      <c r="D33" s="54"/>
      <c r="E33" s="54"/>
      <c r="F33" s="54" t="n">
        <v>530</v>
      </c>
      <c r="G33" s="54" t="s">
        <v>223</v>
      </c>
      <c r="H33" s="54" t="s">
        <v>228</v>
      </c>
      <c r="I33" s="8" t="s">
        <v>229</v>
      </c>
    </row>
    <row r="34" customFormat="false" ht="54.75" hidden="false" customHeight="true" outlineLevel="0" collapsed="false">
      <c r="A34" s="54" t="s">
        <v>26</v>
      </c>
      <c r="B34" s="54" t="s">
        <v>230</v>
      </c>
      <c r="C34" s="8" t="s">
        <v>231</v>
      </c>
      <c r="D34" s="54"/>
      <c r="E34" s="54"/>
      <c r="F34" s="54" t="n">
        <v>350</v>
      </c>
      <c r="G34" s="54" t="s">
        <v>232</v>
      </c>
      <c r="H34" s="54" t="s">
        <v>233</v>
      </c>
      <c r="I34" s="8" t="s">
        <v>234</v>
      </c>
    </row>
    <row r="35" customFormat="false" ht="15" hidden="false" customHeight="true" outlineLevel="0" collapsed="false">
      <c r="A35" s="8" t="s">
        <v>29</v>
      </c>
      <c r="B35" s="8" t="s">
        <v>14</v>
      </c>
      <c r="C35" s="8" t="s">
        <v>235</v>
      </c>
      <c r="D35" s="54"/>
      <c r="E35" s="54"/>
      <c r="F35" s="18" t="n">
        <v>1600</v>
      </c>
      <c r="G35" s="54" t="s">
        <v>163</v>
      </c>
      <c r="H35" s="54" t="s">
        <v>202</v>
      </c>
      <c r="I35" s="20" t="s">
        <v>236</v>
      </c>
    </row>
    <row r="36" customFormat="false" ht="15" hidden="false" customHeight="true" outlineLevel="0" collapsed="false">
      <c r="A36" s="8" t="s">
        <v>29</v>
      </c>
      <c r="B36" s="8" t="s">
        <v>14</v>
      </c>
      <c r="C36" s="8" t="s">
        <v>237</v>
      </c>
      <c r="D36" s="54"/>
      <c r="E36" s="54"/>
      <c r="F36" s="18" t="n">
        <v>150</v>
      </c>
      <c r="G36" s="54" t="s">
        <v>168</v>
      </c>
      <c r="H36" s="54" t="s">
        <v>169</v>
      </c>
      <c r="I36" s="20" t="s">
        <v>238</v>
      </c>
    </row>
    <row r="37" customFormat="false" ht="15" hidden="false" customHeight="true" outlineLevel="0" collapsed="false">
      <c r="A37" s="8" t="s">
        <v>29</v>
      </c>
      <c r="B37" s="8" t="s">
        <v>14</v>
      </c>
      <c r="C37" s="8" t="s">
        <v>239</v>
      </c>
      <c r="D37" s="54"/>
      <c r="E37" s="54"/>
      <c r="F37" s="18" t="n">
        <v>350</v>
      </c>
      <c r="G37" s="54" t="s">
        <v>168</v>
      </c>
      <c r="H37" s="54" t="s">
        <v>169</v>
      </c>
      <c r="I37" s="20" t="s">
        <v>238</v>
      </c>
    </row>
    <row r="38" customFormat="false" ht="54.75" hidden="false" customHeight="true" outlineLevel="0" collapsed="false">
      <c r="A38" s="8" t="s">
        <v>26</v>
      </c>
      <c r="B38" s="8" t="s">
        <v>14</v>
      </c>
      <c r="C38" s="8" t="s">
        <v>240</v>
      </c>
      <c r="D38" s="54"/>
      <c r="E38" s="54"/>
      <c r="F38" s="18" t="n">
        <v>40</v>
      </c>
      <c r="G38" s="54" t="s">
        <v>168</v>
      </c>
      <c r="H38" s="54" t="s">
        <v>169</v>
      </c>
      <c r="I38" s="20" t="s">
        <v>241</v>
      </c>
    </row>
    <row r="39" customFormat="false" ht="15" hidden="false" customHeight="true" outlineLevel="0" collapsed="false">
      <c r="C39" s="63" t="s">
        <v>242</v>
      </c>
      <c r="F39" s="64" t="n">
        <f aca="false">SUM(F5:F38)</f>
        <v>70066.47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3" min="2" style="1" width="24"/>
    <col collapsed="false" customWidth="true" hidden="false" outlineLevel="0" max="4" min="4" style="1" width="16"/>
    <col collapsed="false" customWidth="true" hidden="false" outlineLevel="0" max="5" min="5" style="1" width="42"/>
    <col collapsed="false" customWidth="true" hidden="false" outlineLevel="0" max="6" min="6" style="1" width="16"/>
    <col collapsed="false" customWidth="true" hidden="false" outlineLevel="0" max="8" min="7" style="1" width="12"/>
    <col collapsed="false" customWidth="true" hidden="false" outlineLevel="0" max="9" min="9" style="1" width="30"/>
  </cols>
  <sheetData>
    <row r="1" customFormat="false" ht="19.5" hidden="false" customHeight="true" outlineLevel="0" collapsed="false">
      <c r="A1" s="2" t="s">
        <v>243</v>
      </c>
    </row>
    <row r="2" customFormat="false" ht="15" hidden="false" customHeight="true" outlineLevel="0" collapsed="false">
      <c r="A2" s="5" t="s">
        <v>244</v>
      </c>
    </row>
    <row r="4" customFormat="false" ht="15" hidden="false" customHeight="true" outlineLevel="0" collapsed="false">
      <c r="A4" s="6" t="s">
        <v>245</v>
      </c>
      <c r="B4" s="6" t="s">
        <v>3</v>
      </c>
      <c r="C4" s="6" t="s">
        <v>4</v>
      </c>
      <c r="D4" s="6" t="s">
        <v>246</v>
      </c>
      <c r="E4" s="6" t="s">
        <v>247</v>
      </c>
      <c r="F4" s="6" t="s">
        <v>248</v>
      </c>
      <c r="G4" s="6" t="s">
        <v>249</v>
      </c>
      <c r="H4" s="6" t="s">
        <v>250</v>
      </c>
      <c r="I4" s="6" t="s">
        <v>9</v>
      </c>
    </row>
    <row r="5" customFormat="false" ht="27.75" hidden="false" customHeight="true" outlineLevel="0" collapsed="false">
      <c r="A5" s="65" t="n">
        <v>46212</v>
      </c>
      <c r="B5" s="8" t="s">
        <v>10</v>
      </c>
      <c r="C5" s="8" t="s">
        <v>11</v>
      </c>
      <c r="D5" s="8" t="s">
        <v>251</v>
      </c>
      <c r="E5" s="8" t="s">
        <v>252</v>
      </c>
      <c r="F5" s="18" t="n">
        <v>32228.99</v>
      </c>
      <c r="G5" s="65" t="n">
        <v>46212</v>
      </c>
      <c r="H5" s="54" t="s">
        <v>253</v>
      </c>
      <c r="I5" s="8" t="s">
        <v>254</v>
      </c>
    </row>
    <row r="6" customFormat="false" ht="15" hidden="false" customHeight="true" outlineLevel="0" collapsed="false">
      <c r="A6" s="65" t="n">
        <v>46223</v>
      </c>
      <c r="B6" s="8" t="s">
        <v>23</v>
      </c>
      <c r="C6" s="8" t="s">
        <v>255</v>
      </c>
      <c r="D6" s="8" t="s">
        <v>256</v>
      </c>
      <c r="E6" s="8" t="s">
        <v>257</v>
      </c>
      <c r="F6" s="18" t="n">
        <v>311.98</v>
      </c>
      <c r="G6" s="65" t="n">
        <v>46223</v>
      </c>
      <c r="H6" s="54" t="s">
        <v>258</v>
      </c>
      <c r="I6" s="8" t="s">
        <v>259</v>
      </c>
    </row>
    <row r="7" customFormat="false" ht="15" hidden="false" customHeight="true" outlineLevel="0" collapsed="false">
      <c r="A7" s="65" t="n">
        <v>46223</v>
      </c>
      <c r="B7" s="8" t="s">
        <v>19</v>
      </c>
      <c r="C7" s="8" t="s">
        <v>255</v>
      </c>
      <c r="D7" s="8" t="s">
        <v>256</v>
      </c>
      <c r="E7" s="8" t="s">
        <v>260</v>
      </c>
      <c r="F7" s="18" t="n">
        <v>111.71</v>
      </c>
      <c r="G7" s="65" t="n">
        <v>46223</v>
      </c>
      <c r="H7" s="54" t="s">
        <v>258</v>
      </c>
      <c r="I7" s="8" t="s">
        <v>261</v>
      </c>
    </row>
    <row r="8" customFormat="false" ht="15" hidden="false" customHeight="true" outlineLevel="0" collapsed="false">
      <c r="A8" s="65" t="n">
        <v>46223</v>
      </c>
      <c r="B8" s="8" t="s">
        <v>19</v>
      </c>
      <c r="C8" s="8" t="s">
        <v>104</v>
      </c>
      <c r="D8" s="8" t="s">
        <v>262</v>
      </c>
      <c r="E8" s="8" t="s">
        <v>263</v>
      </c>
      <c r="F8" s="18" t="n">
        <v>937.5</v>
      </c>
      <c r="G8" s="65" t="n">
        <v>46223</v>
      </c>
      <c r="H8" s="54" t="s">
        <v>262</v>
      </c>
      <c r="I8" s="8" t="s">
        <v>264</v>
      </c>
    </row>
    <row r="9" customFormat="false" ht="15" hidden="false" customHeight="true" outlineLevel="0" collapsed="false">
      <c r="A9" s="65" t="n">
        <v>46227</v>
      </c>
      <c r="B9" s="8" t="s">
        <v>19</v>
      </c>
      <c r="C9" s="8" t="s">
        <v>14</v>
      </c>
      <c r="D9" s="8" t="s">
        <v>265</v>
      </c>
      <c r="E9" s="8" t="s">
        <v>266</v>
      </c>
      <c r="F9" s="18" t="n">
        <v>3088.3</v>
      </c>
      <c r="G9" s="65" t="n">
        <v>46227</v>
      </c>
      <c r="H9" s="54" t="s">
        <v>220</v>
      </c>
      <c r="I9" s="8" t="s">
        <v>267</v>
      </c>
    </row>
    <row r="10" customFormat="false" ht="15" hidden="false" customHeight="true" outlineLevel="0" collapsed="false">
      <c r="A10" s="65" t="n">
        <v>46225</v>
      </c>
      <c r="B10" s="8" t="s">
        <v>23</v>
      </c>
      <c r="C10" s="8" t="s">
        <v>268</v>
      </c>
      <c r="D10" s="8" t="s">
        <v>269</v>
      </c>
      <c r="E10" s="8" t="s">
        <v>270</v>
      </c>
      <c r="F10" s="18" t="n">
        <v>162.96</v>
      </c>
      <c r="G10" s="65" t="n">
        <v>46225</v>
      </c>
      <c r="H10" s="54" t="s">
        <v>258</v>
      </c>
      <c r="I10" s="8" t="s">
        <v>271</v>
      </c>
    </row>
    <row r="11" customFormat="false" ht="15" hidden="false" customHeight="true" outlineLevel="0" collapsed="false">
      <c r="A11" s="65" t="n">
        <v>46238</v>
      </c>
      <c r="B11" s="8" t="s">
        <v>23</v>
      </c>
      <c r="C11" s="8" t="s">
        <v>255</v>
      </c>
      <c r="D11" s="8" t="s">
        <v>272</v>
      </c>
      <c r="E11" s="8" t="s">
        <v>273</v>
      </c>
      <c r="F11" s="18" t="n">
        <v>148.53</v>
      </c>
      <c r="G11" s="65" t="n">
        <v>46238</v>
      </c>
      <c r="H11" s="54" t="s">
        <v>258</v>
      </c>
      <c r="I11" s="8" t="s">
        <v>274</v>
      </c>
    </row>
    <row r="12" customFormat="false" ht="15" hidden="false" customHeight="true" outlineLevel="0" collapsed="false">
      <c r="A12" s="65" t="n">
        <v>46241</v>
      </c>
      <c r="B12" s="8" t="s">
        <v>21</v>
      </c>
      <c r="C12" s="8" t="s">
        <v>14</v>
      </c>
      <c r="D12" s="8" t="s">
        <v>262</v>
      </c>
      <c r="E12" s="8" t="s">
        <v>275</v>
      </c>
      <c r="F12" s="18" t="n">
        <v>1710</v>
      </c>
      <c r="G12" s="65" t="n">
        <v>46241</v>
      </c>
      <c r="H12" s="54" t="s">
        <v>262</v>
      </c>
      <c r="I12" s="8" t="s">
        <v>276</v>
      </c>
    </row>
    <row r="13" customFormat="false" ht="15" hidden="false" customHeight="true" outlineLevel="0" collapsed="false">
      <c r="A13" s="65" t="n">
        <v>46244</v>
      </c>
      <c r="B13" s="8" t="s">
        <v>16</v>
      </c>
      <c r="C13" s="8" t="s">
        <v>209</v>
      </c>
      <c r="D13" s="8" t="s">
        <v>277</v>
      </c>
      <c r="E13" s="8" t="s">
        <v>278</v>
      </c>
      <c r="F13" s="18" t="n">
        <v>62.9</v>
      </c>
      <c r="G13" s="65" t="n">
        <v>46244</v>
      </c>
      <c r="H13" s="54" t="s">
        <v>279</v>
      </c>
      <c r="I13" s="8" t="s">
        <v>280</v>
      </c>
    </row>
    <row r="14" customFormat="false" ht="15" hidden="false" customHeight="true" outlineLevel="0" collapsed="false">
      <c r="A14" s="65" t="n">
        <v>46244</v>
      </c>
      <c r="B14" s="8" t="s">
        <v>26</v>
      </c>
      <c r="C14" s="8" t="s">
        <v>281</v>
      </c>
      <c r="D14" s="8" t="s">
        <v>282</v>
      </c>
      <c r="E14" s="8" t="s">
        <v>283</v>
      </c>
      <c r="F14" s="18" t="n">
        <v>344.16</v>
      </c>
      <c r="G14" s="65" t="n">
        <v>46244</v>
      </c>
      <c r="H14" s="54" t="s">
        <v>279</v>
      </c>
      <c r="I14" s="8" t="s">
        <v>284</v>
      </c>
    </row>
    <row r="15" customFormat="false" ht="15" hidden="false" customHeight="true" outlineLevel="0" collapsed="false">
      <c r="A15" s="66" t="n">
        <v>46245</v>
      </c>
      <c r="B15" s="67" t="s">
        <v>26</v>
      </c>
      <c r="C15" s="67" t="s">
        <v>281</v>
      </c>
      <c r="D15" s="67" t="s">
        <v>285</v>
      </c>
      <c r="E15" s="68" t="s">
        <v>286</v>
      </c>
      <c r="F15" s="69" t="n">
        <v>-344.16</v>
      </c>
      <c r="G15" s="66" t="n">
        <v>46247</v>
      </c>
      <c r="H15" s="67" t="s">
        <v>17</v>
      </c>
      <c r="I15" s="68" t="s">
        <v>287</v>
      </c>
    </row>
    <row r="16" customFormat="false" ht="15" hidden="false" customHeight="true" outlineLevel="0" collapsed="false">
      <c r="A16" s="66" t="n">
        <v>46245</v>
      </c>
      <c r="B16" s="67" t="s">
        <v>26</v>
      </c>
      <c r="C16" s="67" t="s">
        <v>288</v>
      </c>
      <c r="D16" s="67" t="s">
        <v>289</v>
      </c>
      <c r="E16" s="68" t="s">
        <v>290</v>
      </c>
      <c r="F16" s="69" t="n">
        <v>390</v>
      </c>
      <c r="G16" s="66" t="n">
        <v>46246</v>
      </c>
      <c r="H16" s="67" t="s">
        <v>202</v>
      </c>
      <c r="I16" s="68" t="s">
        <v>291</v>
      </c>
    </row>
    <row r="17" customFormat="false" ht="15" hidden="false" customHeight="true" outlineLevel="0" collapsed="false">
      <c r="A17" s="66" t="n">
        <v>46246</v>
      </c>
      <c r="B17" s="67" t="s">
        <v>26</v>
      </c>
      <c r="C17" s="67" t="s">
        <v>288</v>
      </c>
      <c r="D17" s="67" t="s">
        <v>292</v>
      </c>
      <c r="E17" s="68" t="s">
        <v>293</v>
      </c>
      <c r="F17" s="69" t="n">
        <v>390</v>
      </c>
      <c r="G17" s="66" t="n">
        <v>46246</v>
      </c>
      <c r="H17" s="67" t="s">
        <v>202</v>
      </c>
      <c r="I17" s="68" t="s">
        <v>294</v>
      </c>
    </row>
    <row r="18" customFormat="false" ht="15" hidden="false" customHeight="true" outlineLevel="0" collapsed="false">
      <c r="A18" s="66" t="n">
        <v>46247</v>
      </c>
      <c r="B18" s="67" t="s">
        <v>21</v>
      </c>
      <c r="C18" s="67" t="s">
        <v>14</v>
      </c>
      <c r="D18" s="67" t="s">
        <v>295</v>
      </c>
      <c r="E18" s="68" t="s">
        <v>296</v>
      </c>
      <c r="F18" s="69" t="n">
        <v>1900</v>
      </c>
      <c r="G18" s="66" t="n">
        <v>46248</v>
      </c>
      <c r="H18" s="67" t="s">
        <v>220</v>
      </c>
      <c r="I18" s="68" t="s">
        <v>297</v>
      </c>
    </row>
    <row r="19" customFormat="false" ht="15" hidden="false" customHeight="true" outlineLevel="0" collapsed="false">
      <c r="A19" s="66" t="n">
        <v>46247</v>
      </c>
      <c r="B19" s="67" t="s">
        <v>16</v>
      </c>
      <c r="C19" s="67" t="s">
        <v>14</v>
      </c>
      <c r="D19" s="67" t="s">
        <v>295</v>
      </c>
      <c r="E19" s="68" t="s">
        <v>298</v>
      </c>
      <c r="F19" s="69" t="n">
        <v>250</v>
      </c>
      <c r="G19" s="66" t="n">
        <v>46248</v>
      </c>
      <c r="H19" s="67" t="s">
        <v>220</v>
      </c>
      <c r="I19" s="68" t="s">
        <v>299</v>
      </c>
    </row>
    <row r="20" customFormat="false" ht="15" hidden="false" customHeight="true" outlineLevel="0" collapsed="false">
      <c r="A20" s="66" t="n">
        <v>46250</v>
      </c>
      <c r="B20" s="67" t="s">
        <v>23</v>
      </c>
      <c r="C20" s="67" t="s">
        <v>300</v>
      </c>
      <c r="D20" s="67" t="s">
        <v>301</v>
      </c>
      <c r="E20" s="68" t="s">
        <v>302</v>
      </c>
      <c r="F20" s="69" t="n">
        <v>47.99</v>
      </c>
      <c r="G20" s="66" t="n">
        <v>46250</v>
      </c>
      <c r="H20" s="67" t="s">
        <v>303</v>
      </c>
      <c r="I20" s="68" t="s">
        <v>304</v>
      </c>
    </row>
    <row r="21" customFormat="false" ht="15" hidden="false" customHeight="true" outlineLevel="0" collapsed="false">
      <c r="A21" s="66" t="n">
        <v>46251</v>
      </c>
      <c r="B21" s="67" t="s">
        <v>23</v>
      </c>
      <c r="C21" s="67" t="s">
        <v>213</v>
      </c>
      <c r="D21" s="67" t="s">
        <v>305</v>
      </c>
      <c r="E21" s="68" t="s">
        <v>306</v>
      </c>
      <c r="F21" s="69" t="n">
        <v>481.28</v>
      </c>
      <c r="G21" s="66" t="n">
        <v>46252</v>
      </c>
      <c r="H21" s="67" t="s">
        <v>220</v>
      </c>
      <c r="I21" s="68" t="s">
        <v>307</v>
      </c>
    </row>
    <row r="22" customFormat="false" ht="15" hidden="false" customHeight="true" outlineLevel="0" collapsed="false">
      <c r="A22" s="66" t="n">
        <v>46253</v>
      </c>
      <c r="B22" s="67" t="s">
        <v>23</v>
      </c>
      <c r="C22" s="67" t="s">
        <v>255</v>
      </c>
      <c r="D22" s="67" t="s">
        <v>308</v>
      </c>
      <c r="E22" s="68" t="s">
        <v>309</v>
      </c>
      <c r="F22" s="69" t="n">
        <v>-72.23</v>
      </c>
      <c r="G22" s="66" t="n">
        <v>46253</v>
      </c>
      <c r="H22" s="67" t="s">
        <v>220</v>
      </c>
      <c r="I22" s="68" t="s">
        <v>310</v>
      </c>
    </row>
    <row r="23" customFormat="false" ht="15" hidden="false" customHeight="true" outlineLevel="0" collapsed="false">
      <c r="A23" s="66" t="n">
        <v>46251</v>
      </c>
      <c r="B23" s="67" t="s">
        <v>16</v>
      </c>
      <c r="C23" s="67" t="s">
        <v>213</v>
      </c>
      <c r="D23" s="67" t="s">
        <v>311</v>
      </c>
      <c r="E23" s="68" t="s">
        <v>312</v>
      </c>
      <c r="F23" s="69" t="n">
        <v>26.42</v>
      </c>
      <c r="G23" s="66" t="n">
        <v>46252</v>
      </c>
      <c r="H23" s="67" t="s">
        <v>220</v>
      </c>
      <c r="I23" s="68" t="s">
        <v>313</v>
      </c>
    </row>
    <row r="24" customFormat="false" ht="15" hidden="false" customHeight="true" outlineLevel="0" collapsed="false">
      <c r="A24" s="66" t="n">
        <v>46244</v>
      </c>
      <c r="B24" s="67" t="s">
        <v>23</v>
      </c>
      <c r="C24" s="67" t="s">
        <v>213</v>
      </c>
      <c r="D24" s="67" t="s">
        <v>314</v>
      </c>
      <c r="E24" s="68" t="s">
        <v>315</v>
      </c>
      <c r="F24" s="69" t="n">
        <v>40.18</v>
      </c>
      <c r="G24" s="66" t="n">
        <v>46252</v>
      </c>
      <c r="H24" s="67" t="s">
        <v>220</v>
      </c>
      <c r="I24" s="68" t="s">
        <v>316</v>
      </c>
    </row>
    <row r="25" customFormat="false" ht="15" hidden="false" customHeight="true" outlineLevel="0" collapsed="false">
      <c r="A25" s="66" t="n">
        <v>46252</v>
      </c>
      <c r="B25" s="67" t="s">
        <v>13</v>
      </c>
      <c r="C25" s="67" t="s">
        <v>14</v>
      </c>
      <c r="D25" s="67" t="s">
        <v>317</v>
      </c>
      <c r="E25" s="68" t="s">
        <v>318</v>
      </c>
      <c r="F25" s="69" t="n">
        <v>4400</v>
      </c>
      <c r="G25" s="66" t="n">
        <v>46254</v>
      </c>
      <c r="H25" s="67" t="s">
        <v>220</v>
      </c>
      <c r="I25" s="68" t="s">
        <v>319</v>
      </c>
    </row>
    <row r="26" customFormat="false" ht="54.75" hidden="false" customHeight="true" outlineLevel="0" collapsed="false">
      <c r="A26" s="65" t="n">
        <v>46223</v>
      </c>
      <c r="B26" s="54" t="s">
        <v>21</v>
      </c>
      <c r="C26" s="54" t="s">
        <v>104</v>
      </c>
      <c r="D26" s="54" t="s">
        <v>262</v>
      </c>
      <c r="E26" s="8" t="s">
        <v>320</v>
      </c>
      <c r="F26" s="54" t="n">
        <v>1062.5</v>
      </c>
      <c r="G26" s="65" t="n">
        <v>46223</v>
      </c>
      <c r="H26" s="54" t="s">
        <v>262</v>
      </c>
      <c r="I26" s="8" t="s">
        <v>321</v>
      </c>
    </row>
    <row r="27" customFormat="false" ht="54.75" hidden="false" customHeight="true" outlineLevel="0" collapsed="false">
      <c r="A27" s="65" t="n">
        <v>46252</v>
      </c>
      <c r="B27" s="54" t="s">
        <v>19</v>
      </c>
      <c r="C27" s="54" t="s">
        <v>104</v>
      </c>
      <c r="D27" s="54" t="s">
        <v>17</v>
      </c>
      <c r="E27" s="8" t="s">
        <v>322</v>
      </c>
      <c r="F27" s="54" t="n">
        <v>562.5</v>
      </c>
      <c r="G27" s="65" t="n">
        <v>46252</v>
      </c>
      <c r="H27" s="54" t="s">
        <v>202</v>
      </c>
      <c r="I27" s="8" t="s">
        <v>323</v>
      </c>
    </row>
    <row r="28" customFormat="false" ht="27.75" hidden="false" customHeight="true" outlineLevel="0" collapsed="false">
      <c r="A28" s="65" t="n">
        <v>46252</v>
      </c>
      <c r="B28" s="54" t="s">
        <v>21</v>
      </c>
      <c r="C28" s="54" t="s">
        <v>104</v>
      </c>
      <c r="D28" s="54" t="s">
        <v>17</v>
      </c>
      <c r="E28" s="8" t="s">
        <v>324</v>
      </c>
      <c r="F28" s="54" t="n">
        <v>637.5</v>
      </c>
      <c r="G28" s="65" t="n">
        <v>46252</v>
      </c>
      <c r="H28" s="54" t="s">
        <v>202</v>
      </c>
      <c r="I28" s="8" t="s">
        <v>325</v>
      </c>
    </row>
    <row r="29" customFormat="false" ht="27.75" hidden="false" customHeight="true" outlineLevel="0" collapsed="false">
      <c r="A29" s="65" t="n">
        <v>46258</v>
      </c>
      <c r="B29" s="54" t="s">
        <v>16</v>
      </c>
      <c r="C29" s="54" t="s">
        <v>11</v>
      </c>
      <c r="D29" s="54" t="s">
        <v>326</v>
      </c>
      <c r="E29" s="8" t="s">
        <v>327</v>
      </c>
      <c r="F29" s="54" t="n">
        <v>141.66</v>
      </c>
      <c r="G29" s="65" t="n">
        <v>46258</v>
      </c>
      <c r="H29" s="54" t="s">
        <v>220</v>
      </c>
      <c r="I29" s="8" t="s">
        <v>328</v>
      </c>
    </row>
    <row r="30" customFormat="false" ht="108.75" hidden="false" customHeight="true" outlineLevel="0" collapsed="false">
      <c r="A30" s="65" t="n">
        <v>46269</v>
      </c>
      <c r="B30" s="54" t="s">
        <v>13</v>
      </c>
      <c r="C30" s="54" t="s">
        <v>14</v>
      </c>
      <c r="D30" s="54" t="s">
        <v>262</v>
      </c>
      <c r="E30" s="8" t="s">
        <v>329</v>
      </c>
      <c r="F30" s="54" t="n">
        <v>2000</v>
      </c>
      <c r="G30" s="65" t="n">
        <v>46269</v>
      </c>
      <c r="H30" s="54" t="s">
        <v>262</v>
      </c>
      <c r="I30" s="8" t="s">
        <v>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26"/>
    <col collapsed="false" customWidth="true" hidden="false" outlineLevel="0" max="3" min="3" style="1" width="40"/>
    <col collapsed="false" customWidth="true" hidden="false" outlineLevel="0" max="4" min="4" style="1" width="20"/>
    <col collapsed="false" customWidth="true" hidden="false" outlineLevel="0" max="5" min="5" style="1" width="13"/>
    <col collapsed="false" customWidth="true" hidden="false" outlineLevel="0" max="6" min="6" style="1" width="18"/>
  </cols>
  <sheetData>
    <row r="1" customFormat="false" ht="19.5" hidden="false" customHeight="true" outlineLevel="0" collapsed="false">
      <c r="A1" s="2" t="s">
        <v>331</v>
      </c>
    </row>
    <row r="2" customFormat="false" ht="15" hidden="false" customHeight="true" outlineLevel="0" collapsed="false">
      <c r="A2" s="5" t="s">
        <v>332</v>
      </c>
    </row>
    <row r="4" customFormat="false" ht="15.75" hidden="false" customHeight="true" outlineLevel="0" collapsed="false">
      <c r="A4" s="3" t="s">
        <v>333</v>
      </c>
      <c r="B4" s="70" t="n">
        <v>1360</v>
      </c>
      <c r="C4" s="3" t="s">
        <v>334</v>
      </c>
      <c r="D4" s="71" t="n">
        <f aca="false">B4-SUM(E8:E40)</f>
        <v>190</v>
      </c>
    </row>
    <row r="7" customFormat="false" ht="15" hidden="false" customHeight="true" outlineLevel="0" collapsed="false">
      <c r="A7" s="6" t="s">
        <v>335</v>
      </c>
      <c r="B7" s="6" t="s">
        <v>336</v>
      </c>
      <c r="C7" s="6" t="s">
        <v>337</v>
      </c>
      <c r="D7" s="6" t="s">
        <v>338</v>
      </c>
      <c r="E7" s="6" t="s">
        <v>339</v>
      </c>
      <c r="F7" s="6" t="s">
        <v>340</v>
      </c>
    </row>
    <row r="8" customFormat="false" ht="27.75" hidden="false" customHeight="true" outlineLevel="0" collapsed="false">
      <c r="A8" s="65" t="n">
        <v>46244</v>
      </c>
      <c r="B8" s="8" t="s">
        <v>281</v>
      </c>
      <c r="C8" s="8" t="s">
        <v>341</v>
      </c>
      <c r="D8" s="8" t="s">
        <v>342</v>
      </c>
      <c r="E8" s="18" t="n">
        <v>344.16</v>
      </c>
      <c r="F8" s="10" t="n">
        <f aca="false">IF(E8="","",$B$4-SUM($E$8:E8))</f>
        <v>1015.84</v>
      </c>
    </row>
    <row r="9" customFormat="false" ht="15" hidden="false" customHeight="true" outlineLevel="0" collapsed="false">
      <c r="A9" s="66" t="n">
        <v>46245</v>
      </c>
      <c r="B9" s="68" t="s">
        <v>281</v>
      </c>
      <c r="C9" s="68" t="s">
        <v>343</v>
      </c>
      <c r="D9" s="68" t="s">
        <v>344</v>
      </c>
      <c r="E9" s="69" t="n">
        <v>-344.16</v>
      </c>
      <c r="F9" s="10" t="n">
        <f aca="false">IF(E9="","",$B$4-SUM($E$8:E9))</f>
        <v>1360</v>
      </c>
    </row>
    <row r="10" customFormat="false" ht="15" hidden="false" customHeight="true" outlineLevel="0" collapsed="false">
      <c r="A10" s="66" t="n">
        <v>46245</v>
      </c>
      <c r="B10" s="68" t="s">
        <v>288</v>
      </c>
      <c r="C10" s="68" t="s">
        <v>345</v>
      </c>
      <c r="D10" s="68" t="s">
        <v>342</v>
      </c>
      <c r="E10" s="69" t="n">
        <v>390</v>
      </c>
      <c r="F10" s="10" t="n">
        <f aca="false">IF(E10="","",$B$4-SUM($E$8:E10))</f>
        <v>970</v>
      </c>
    </row>
    <row r="11" customFormat="false" ht="15" hidden="false" customHeight="true" outlineLevel="0" collapsed="false">
      <c r="A11" s="66" t="n">
        <v>46246</v>
      </c>
      <c r="B11" s="68" t="s">
        <v>288</v>
      </c>
      <c r="C11" s="68" t="s">
        <v>346</v>
      </c>
      <c r="D11" s="68" t="s">
        <v>342</v>
      </c>
      <c r="E11" s="69" t="n">
        <v>390</v>
      </c>
      <c r="F11" s="10" t="n">
        <f aca="false">IF(E11="","",$B$4-SUM($E$8:E11))</f>
        <v>580</v>
      </c>
    </row>
    <row r="12" customFormat="false" ht="15" hidden="false" customHeight="true" outlineLevel="0" collapsed="false">
      <c r="A12" s="66" t="n">
        <v>46273</v>
      </c>
      <c r="B12" s="68" t="s">
        <v>347</v>
      </c>
      <c r="C12" s="68" t="s">
        <v>348</v>
      </c>
      <c r="D12" s="67" t="s">
        <v>349</v>
      </c>
      <c r="E12" s="69" t="n">
        <v>350</v>
      </c>
      <c r="F12" s="10" t="n">
        <f aca="false">IF(E12="","",$B$4-SUM($E$8:E12))</f>
        <v>230</v>
      </c>
    </row>
    <row r="13" customFormat="false" ht="15" hidden="false" customHeight="true" outlineLevel="0" collapsed="false">
      <c r="A13" s="66" t="n">
        <v>46269</v>
      </c>
      <c r="B13" s="68" t="s">
        <v>14</v>
      </c>
      <c r="C13" s="68" t="s">
        <v>350</v>
      </c>
      <c r="D13" s="67" t="s">
        <v>29</v>
      </c>
      <c r="E13" s="69" t="n">
        <v>40</v>
      </c>
      <c r="F13" s="10" t="n">
        <f aca="false">IF(E13="","",$B$4-SUM($E$8:E13))</f>
        <v>190</v>
      </c>
    </row>
    <row r="14" customFormat="false" ht="15" hidden="false" customHeight="true" outlineLevel="0" collapsed="false">
      <c r="A14" s="72"/>
      <c r="B14" s="73"/>
      <c r="C14" s="73"/>
      <c r="D14" s="73"/>
      <c r="E14" s="74"/>
      <c r="F14" s="10" t="str">
        <f aca="false">IF(E14="","",$B$4-SUM($E$8:E14))</f>
        <v/>
      </c>
    </row>
    <row r="15" customFormat="false" ht="15" hidden="false" customHeight="true" outlineLevel="0" collapsed="false">
      <c r="A15" s="72"/>
      <c r="B15" s="73"/>
      <c r="C15" s="73"/>
      <c r="D15" s="73"/>
      <c r="E15" s="74"/>
      <c r="F15" s="10" t="str">
        <f aca="false">IF(E15="","",$B$4-SUM($E$8:E15))</f>
        <v/>
      </c>
    </row>
    <row r="16" customFormat="false" ht="15" hidden="false" customHeight="true" outlineLevel="0" collapsed="false">
      <c r="A16" s="72"/>
      <c r="B16" s="73"/>
      <c r="C16" s="73"/>
      <c r="D16" s="73"/>
      <c r="E16" s="74"/>
      <c r="F16" s="10" t="str">
        <f aca="false">IF(E16="","",$B$4-SUM($E$8:E16))</f>
        <v/>
      </c>
    </row>
    <row r="17" customFormat="false" ht="15" hidden="false" customHeight="true" outlineLevel="0" collapsed="false">
      <c r="A17" s="72"/>
      <c r="B17" s="73"/>
      <c r="C17" s="73"/>
      <c r="D17" s="73"/>
      <c r="E17" s="74"/>
      <c r="F17" s="10" t="str">
        <f aca="false">IF(E17="","",$B$4-SUM($E$8:E17))</f>
        <v/>
      </c>
    </row>
    <row r="18" customFormat="false" ht="15" hidden="false" customHeight="true" outlineLevel="0" collapsed="false">
      <c r="A18" s="72"/>
      <c r="B18" s="73"/>
      <c r="C18" s="73"/>
      <c r="D18" s="73"/>
      <c r="E18" s="74"/>
      <c r="F18" s="10" t="str">
        <f aca="false">IF(E18="","",$B$4-SUM($E$8:E18))</f>
        <v/>
      </c>
    </row>
    <row r="19" customFormat="false" ht="15" hidden="false" customHeight="true" outlineLevel="0" collapsed="false">
      <c r="A19" s="72"/>
      <c r="B19" s="73"/>
      <c r="C19" s="73"/>
      <c r="D19" s="73"/>
      <c r="E19" s="74"/>
      <c r="F19" s="10" t="str">
        <f aca="false">IF(E19="","",$B$4-SUM($E$8:E19))</f>
        <v/>
      </c>
    </row>
    <row r="20" customFormat="false" ht="15" hidden="false" customHeight="true" outlineLevel="0" collapsed="false">
      <c r="A20" s="72"/>
      <c r="B20" s="73"/>
      <c r="C20" s="73"/>
      <c r="D20" s="73"/>
      <c r="E20" s="74"/>
      <c r="F20" s="10" t="str">
        <f aca="false">IF(E20="","",$B$4-SUM($E$8:E20))</f>
        <v/>
      </c>
    </row>
    <row r="21" customFormat="false" ht="15" hidden="false" customHeight="true" outlineLevel="0" collapsed="false">
      <c r="A21" s="72"/>
      <c r="B21" s="73"/>
      <c r="C21" s="73"/>
      <c r="D21" s="73"/>
      <c r="E21" s="74"/>
      <c r="F21" s="10" t="str">
        <f aca="false">IF(E21="","",$B$4-SUM($E$8:E21))</f>
        <v/>
      </c>
    </row>
    <row r="22" customFormat="false" ht="15" hidden="false" customHeight="true" outlineLevel="0" collapsed="false">
      <c r="A22" s="72"/>
      <c r="B22" s="73"/>
      <c r="C22" s="73"/>
      <c r="D22" s="73"/>
      <c r="E22" s="74"/>
      <c r="F22" s="10" t="str">
        <f aca="false">IF(E22="","",$B$4-SUM($E$8:E22))</f>
        <v/>
      </c>
    </row>
    <row r="23" customFormat="false" ht="15" hidden="false" customHeight="true" outlineLevel="0" collapsed="false">
      <c r="A23" s="72"/>
      <c r="B23" s="73"/>
      <c r="C23" s="73"/>
      <c r="D23" s="73"/>
      <c r="E23" s="74"/>
      <c r="F23" s="10" t="str">
        <f aca="false">IF(E23="","",$B$4-SUM($E$8:E23))</f>
        <v/>
      </c>
    </row>
    <row r="24" customFormat="false" ht="15" hidden="false" customHeight="true" outlineLevel="0" collapsed="false">
      <c r="A24" s="72"/>
      <c r="B24" s="73"/>
      <c r="C24" s="73"/>
      <c r="D24" s="73"/>
      <c r="E24" s="74"/>
      <c r="F24" s="10" t="str">
        <f aca="false">IF(E24="","",$B$4-SUM($E$8:E24))</f>
        <v/>
      </c>
    </row>
    <row r="25" customFormat="false" ht="15" hidden="false" customHeight="true" outlineLevel="0" collapsed="false">
      <c r="A25" s="72"/>
      <c r="B25" s="73"/>
      <c r="C25" s="73"/>
      <c r="D25" s="73"/>
      <c r="E25" s="74"/>
      <c r="F25" s="10" t="str">
        <f aca="false">IF(E25="","",$B$4-SUM($E$8:E25))</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26"/>
    <col collapsed="false" customWidth="true" hidden="false" outlineLevel="0" max="3" min="3" style="1" width="46"/>
    <col collapsed="false" customWidth="true" hidden="false" outlineLevel="0" max="4" min="4" style="1" width="18"/>
    <col collapsed="false" customWidth="true" hidden="false" outlineLevel="0" max="5" min="5" style="1" width="13"/>
    <col collapsed="false" customWidth="true" hidden="false" outlineLevel="0" max="6" min="6" style="1" width="18"/>
  </cols>
  <sheetData>
    <row r="1" customFormat="false" ht="19.5" hidden="false" customHeight="true" outlineLevel="0" collapsed="false">
      <c r="A1" s="2" t="s">
        <v>351</v>
      </c>
    </row>
    <row r="2" customFormat="false" ht="15" hidden="false" customHeight="true" outlineLevel="0" collapsed="false">
      <c r="A2" s="5" t="s">
        <v>352</v>
      </c>
    </row>
    <row r="4" customFormat="false" ht="15.75" hidden="false" customHeight="true" outlineLevel="0" collapsed="false">
      <c r="A4" s="3" t="s">
        <v>333</v>
      </c>
      <c r="B4" s="70" t="n">
        <v>1130</v>
      </c>
      <c r="C4" s="3" t="s">
        <v>334</v>
      </c>
      <c r="D4" s="71" t="n">
        <f aca="false">B4-SUM(E8:E40)</f>
        <v>-62.9000000000001</v>
      </c>
    </row>
    <row r="7" customFormat="false" ht="15" hidden="false" customHeight="true" outlineLevel="0" collapsed="false">
      <c r="A7" s="6" t="s">
        <v>335</v>
      </c>
      <c r="B7" s="6" t="s">
        <v>353</v>
      </c>
      <c r="C7" s="6" t="s">
        <v>354</v>
      </c>
      <c r="D7" s="6" t="s">
        <v>338</v>
      </c>
      <c r="E7" s="6" t="s">
        <v>339</v>
      </c>
      <c r="F7" s="6" t="s">
        <v>340</v>
      </c>
    </row>
    <row r="8" customFormat="false" ht="41.25" hidden="false" customHeight="true" outlineLevel="0" collapsed="false">
      <c r="A8" s="65" t="n">
        <v>46223</v>
      </c>
      <c r="B8" s="8" t="s">
        <v>255</v>
      </c>
      <c r="C8" s="8" t="s">
        <v>355</v>
      </c>
      <c r="D8" s="54" t="s">
        <v>356</v>
      </c>
      <c r="E8" s="18" t="n">
        <v>311.98</v>
      </c>
      <c r="F8" s="10" t="n">
        <f aca="false">IF(E8="","",$B$4-SUM($E$8:E8))</f>
        <v>818.02</v>
      </c>
    </row>
    <row r="9" customFormat="false" ht="15" hidden="false" customHeight="true" outlineLevel="0" collapsed="false">
      <c r="A9" s="65" t="n">
        <v>46225</v>
      </c>
      <c r="B9" s="8" t="s">
        <v>268</v>
      </c>
      <c r="C9" s="8" t="s">
        <v>357</v>
      </c>
      <c r="D9" s="54" t="s">
        <v>358</v>
      </c>
      <c r="E9" s="18" t="n">
        <v>162.96</v>
      </c>
      <c r="F9" s="10" t="n">
        <f aca="false">IF(E9="","",$B$4-SUM($E$8:E9))</f>
        <v>655.06</v>
      </c>
    </row>
    <row r="10" customFormat="false" ht="15" hidden="false" customHeight="true" outlineLevel="0" collapsed="false">
      <c r="A10" s="65" t="n">
        <v>46238</v>
      </c>
      <c r="B10" s="8" t="s">
        <v>255</v>
      </c>
      <c r="C10" s="8" t="s">
        <v>359</v>
      </c>
      <c r="D10" s="54" t="s">
        <v>360</v>
      </c>
      <c r="E10" s="18" t="n">
        <v>148.53</v>
      </c>
      <c r="F10" s="10" t="n">
        <f aca="false">IF(E10="","",$B$4-SUM($E$8:E10))</f>
        <v>506.53</v>
      </c>
    </row>
    <row r="11" customFormat="false" ht="15" hidden="false" customHeight="true" outlineLevel="0" collapsed="false">
      <c r="A11" s="66" t="n">
        <v>46250</v>
      </c>
      <c r="B11" s="67" t="s">
        <v>300</v>
      </c>
      <c r="C11" s="68" t="s">
        <v>361</v>
      </c>
      <c r="D11" s="68" t="s">
        <v>362</v>
      </c>
      <c r="E11" s="69" t="n">
        <v>47.99</v>
      </c>
      <c r="F11" s="10" t="n">
        <f aca="false">IF(E11="","",$B$4-SUM($E$8:E11))</f>
        <v>458.54</v>
      </c>
    </row>
    <row r="12" customFormat="false" ht="15" hidden="false" customHeight="true" outlineLevel="0" collapsed="false">
      <c r="A12" s="66" t="n">
        <v>46251</v>
      </c>
      <c r="B12" s="68" t="s">
        <v>213</v>
      </c>
      <c r="C12" s="68" t="s">
        <v>363</v>
      </c>
      <c r="D12" s="67" t="s">
        <v>364</v>
      </c>
      <c r="E12" s="69" t="n">
        <v>481.26</v>
      </c>
      <c r="F12" s="10" t="n">
        <f aca="false">IF(E12="","",$B$4-SUM($E$8:E12))</f>
        <v>-22.72</v>
      </c>
    </row>
    <row r="13" customFormat="false" ht="15" hidden="false" customHeight="true" outlineLevel="0" collapsed="false">
      <c r="A13" s="66"/>
      <c r="B13" s="67"/>
      <c r="C13" s="68"/>
      <c r="D13" s="68"/>
      <c r="E13" s="69"/>
      <c r="F13" s="10" t="str">
        <f aca="false">IF(E13="","",$B$4-SUM($E$8:E13))</f>
        <v/>
      </c>
    </row>
    <row r="14" customFormat="false" ht="15" hidden="false" customHeight="true" outlineLevel="0" collapsed="false">
      <c r="A14" s="66" t="n">
        <v>46244</v>
      </c>
      <c r="B14" s="68" t="s">
        <v>365</v>
      </c>
      <c r="C14" s="68" t="s">
        <v>366</v>
      </c>
      <c r="D14" s="67" t="s">
        <v>364</v>
      </c>
      <c r="E14" s="69" t="n">
        <v>40.18</v>
      </c>
      <c r="F14" s="10" t="n">
        <f aca="false">IF(E14="","",$B$4-SUM($E$8:E14))</f>
        <v>-62.9000000000001</v>
      </c>
    </row>
    <row r="15" customFormat="false" ht="15" hidden="false" customHeight="true" outlineLevel="0" collapsed="false">
      <c r="A15" s="66"/>
      <c r="B15" s="67"/>
      <c r="C15" s="68"/>
      <c r="D15" s="68"/>
      <c r="E15" s="69"/>
      <c r="F15" s="10" t="str">
        <f aca="false">IF(E15="","",$B$4-SUM($E$8:E15))</f>
        <v/>
      </c>
    </row>
    <row r="16" customFormat="false" ht="15" hidden="false" customHeight="true" outlineLevel="0" collapsed="false">
      <c r="A16" s="72"/>
      <c r="B16" s="73"/>
      <c r="C16" s="73"/>
      <c r="D16" s="73"/>
      <c r="E16" s="74"/>
      <c r="F16" s="10" t="str">
        <f aca="false">IF(E16="","",$B$4-SUM($E$8:E16))</f>
        <v/>
      </c>
    </row>
    <row r="17" customFormat="false" ht="15" hidden="false" customHeight="true" outlineLevel="0" collapsed="false">
      <c r="A17" s="72"/>
      <c r="B17" s="73"/>
      <c r="C17" s="73"/>
      <c r="D17" s="73"/>
      <c r="E17" s="74"/>
      <c r="F17" s="10" t="str">
        <f aca="false">IF(E17="","",$B$4-SUM($E$8:E17))</f>
        <v/>
      </c>
    </row>
    <row r="18" customFormat="false" ht="15" hidden="false" customHeight="true" outlineLevel="0" collapsed="false">
      <c r="A18" s="72"/>
      <c r="B18" s="73"/>
      <c r="C18" s="73"/>
      <c r="D18" s="73"/>
      <c r="E18" s="74"/>
      <c r="F18" s="10" t="str">
        <f aca="false">IF(E18="","",$B$4-SUM($E$8:E18))</f>
        <v/>
      </c>
    </row>
    <row r="19" customFormat="false" ht="15" hidden="false" customHeight="true" outlineLevel="0" collapsed="false">
      <c r="A19" s="72"/>
      <c r="B19" s="73"/>
      <c r="C19" s="73"/>
      <c r="D19" s="73"/>
      <c r="E19" s="74"/>
      <c r="F19" s="10" t="str">
        <f aca="false">IF(E19="","",$B$4-SUM($E$8:E19))</f>
        <v/>
      </c>
    </row>
    <row r="20" customFormat="false" ht="15" hidden="false" customHeight="true" outlineLevel="0" collapsed="false">
      <c r="A20" s="72"/>
      <c r="B20" s="73"/>
      <c r="C20" s="73"/>
      <c r="D20" s="73"/>
      <c r="E20" s="74"/>
      <c r="F20" s="10" t="str">
        <f aca="false">IF(E20="","",$B$4-SUM($E$8:E20))</f>
        <v/>
      </c>
    </row>
    <row r="21" customFormat="false" ht="15" hidden="false" customHeight="true" outlineLevel="0" collapsed="false">
      <c r="A21" s="72"/>
      <c r="B21" s="73"/>
      <c r="C21" s="73"/>
      <c r="D21" s="73"/>
      <c r="E21" s="74"/>
      <c r="F21" s="10" t="str">
        <f aca="false">IF(E21="","",$B$4-SUM($E$8:E21))</f>
        <v/>
      </c>
    </row>
    <row r="22" customFormat="false" ht="15" hidden="false" customHeight="true" outlineLevel="0" collapsed="false">
      <c r="A22" s="72"/>
      <c r="B22" s="73"/>
      <c r="C22" s="73"/>
      <c r="D22" s="73"/>
      <c r="E22" s="74"/>
      <c r="F22" s="10" t="str">
        <f aca="false">IF(E22="","",$B$4-SUM($E$8:E22))</f>
        <v/>
      </c>
    </row>
    <row r="23" customFormat="false" ht="15" hidden="false" customHeight="true" outlineLevel="0" collapsed="false">
      <c r="A23" s="72"/>
      <c r="B23" s="73"/>
      <c r="C23" s="73"/>
      <c r="D23" s="73"/>
      <c r="E23" s="74"/>
      <c r="F23" s="10" t="str">
        <f aca="false">IF(E23="","",$B$4-SUM($E$8:E23))</f>
        <v/>
      </c>
    </row>
    <row r="24" customFormat="false" ht="15" hidden="false" customHeight="true" outlineLevel="0" collapsed="false">
      <c r="A24" s="72"/>
      <c r="B24" s="73"/>
      <c r="C24" s="73"/>
      <c r="D24" s="73"/>
      <c r="E24" s="74"/>
      <c r="F24" s="10" t="str">
        <f aca="false">IF(E24="","",$B$4-SUM($E$8:E24))</f>
        <v/>
      </c>
    </row>
    <row r="25" customFormat="false" ht="15" hidden="false" customHeight="true" outlineLevel="0" collapsed="false">
      <c r="A25" s="72"/>
      <c r="B25" s="73"/>
      <c r="C25" s="73"/>
      <c r="D25" s="73"/>
      <c r="E25" s="74"/>
      <c r="F25" s="10" t="str">
        <f aca="false">IF(E25="","",$B$4-SUM($E$8:E25))</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3" min="2" style="1" width="34"/>
    <col collapsed="false" customWidth="true" hidden="false" outlineLevel="0" max="4" min="4" style="1" width="14"/>
    <col collapsed="false" customWidth="true" hidden="false" outlineLevel="0" max="5" min="5" style="1" width="18"/>
  </cols>
  <sheetData>
    <row r="1" customFormat="false" ht="19.5" hidden="false" customHeight="true" outlineLevel="0" collapsed="false">
      <c r="A1" s="2" t="s">
        <v>367</v>
      </c>
    </row>
    <row r="2" customFormat="false" ht="15" hidden="false" customHeight="true" outlineLevel="0" collapsed="false">
      <c r="A2" s="5" t="s">
        <v>368</v>
      </c>
    </row>
    <row r="4" customFormat="false" ht="15.75" hidden="false" customHeight="true" outlineLevel="0" collapsed="false">
      <c r="A4" s="3" t="s">
        <v>369</v>
      </c>
      <c r="B4" s="70" t="n">
        <v>5000</v>
      </c>
      <c r="C4" s="3" t="s">
        <v>334</v>
      </c>
      <c r="D4" s="71" t="n">
        <f aca="false">B4-SUM(D8:D40)</f>
        <v>4519.02</v>
      </c>
    </row>
    <row r="7" customFormat="false" ht="15" hidden="false" customHeight="true" outlineLevel="0" collapsed="false">
      <c r="A7" s="6" t="s">
        <v>335</v>
      </c>
      <c r="B7" s="6" t="s">
        <v>370</v>
      </c>
      <c r="C7" s="6" t="s">
        <v>371</v>
      </c>
      <c r="D7" s="6" t="s">
        <v>339</v>
      </c>
      <c r="E7" s="6" t="s">
        <v>340</v>
      </c>
    </row>
    <row r="8" customFormat="false" ht="15" hidden="false" customHeight="true" outlineLevel="0" collapsed="false">
      <c r="A8" s="66" t="n">
        <v>46248</v>
      </c>
      <c r="B8" s="68" t="s">
        <v>372</v>
      </c>
      <c r="C8" s="68" t="s">
        <v>373</v>
      </c>
      <c r="D8" s="69" t="n">
        <v>250</v>
      </c>
      <c r="E8" s="10" t="n">
        <f aca="false">IF(D8="","",$B$4-SUM($D$8:D8))</f>
        <v>4750</v>
      </c>
    </row>
    <row r="9" customFormat="false" ht="15" hidden="false" customHeight="true" outlineLevel="0" collapsed="false">
      <c r="A9" s="66" t="n">
        <v>46251</v>
      </c>
      <c r="B9" s="68" t="s">
        <v>374</v>
      </c>
      <c r="C9" s="68" t="s">
        <v>213</v>
      </c>
      <c r="D9" s="69" t="n">
        <v>26.42</v>
      </c>
      <c r="E9" s="10" t="n">
        <f aca="false">IF(D9="","",$B$4-SUM($D$8:D9))</f>
        <v>4723.58</v>
      </c>
    </row>
    <row r="10" customFormat="false" ht="15" hidden="false" customHeight="true" outlineLevel="0" collapsed="false">
      <c r="A10" s="66" t="n">
        <v>46251</v>
      </c>
      <c r="B10" s="68" t="s">
        <v>375</v>
      </c>
      <c r="C10" s="68" t="s">
        <v>376</v>
      </c>
      <c r="D10" s="69" t="n">
        <v>62.9</v>
      </c>
      <c r="E10" s="10" t="n">
        <f aca="false">IF(D10="","",$B$4-SUM($D$8:D10))</f>
        <v>4660.68</v>
      </c>
    </row>
    <row r="11" customFormat="false" ht="15" hidden="false" customHeight="true" outlineLevel="0" collapsed="false">
      <c r="A11" s="66" t="n">
        <v>46258</v>
      </c>
      <c r="B11" s="68" t="s">
        <v>327</v>
      </c>
      <c r="C11" s="68" t="s">
        <v>377</v>
      </c>
      <c r="D11" s="69" t="n">
        <v>141.66</v>
      </c>
      <c r="E11" s="10" t="n">
        <f aca="false">IF(D11="","",$B$4-SUM($D$8:D11))</f>
        <v>4519.02</v>
      </c>
    </row>
    <row r="12" customFormat="false" ht="15" hidden="false" customHeight="true" outlineLevel="0" collapsed="false">
      <c r="A12" s="72"/>
      <c r="B12" s="73"/>
      <c r="C12" s="73"/>
      <c r="D12" s="74"/>
      <c r="E12" s="10" t="str">
        <f aca="false">IF(D12="","",$B$4-SUM($D$8:D12))</f>
        <v/>
      </c>
    </row>
    <row r="13" customFormat="false" ht="15" hidden="false" customHeight="true" outlineLevel="0" collapsed="false">
      <c r="A13" s="72"/>
      <c r="B13" s="73"/>
      <c r="C13" s="73"/>
      <c r="D13" s="74"/>
      <c r="E13" s="10" t="str">
        <f aca="false">IF(D13="","",$B$4-SUM($D$8:D13))</f>
        <v/>
      </c>
    </row>
    <row r="14" customFormat="false" ht="15" hidden="false" customHeight="true" outlineLevel="0" collapsed="false">
      <c r="A14" s="72"/>
      <c r="B14" s="73"/>
      <c r="C14" s="73"/>
      <c r="D14" s="74"/>
      <c r="E14" s="10" t="str">
        <f aca="false">IF(D14="","",$B$4-SUM($D$8:D14))</f>
        <v/>
      </c>
    </row>
    <row r="15" customFormat="false" ht="15" hidden="false" customHeight="true" outlineLevel="0" collapsed="false">
      <c r="A15" s="72"/>
      <c r="B15" s="73"/>
      <c r="C15" s="73"/>
      <c r="D15" s="74"/>
      <c r="E15" s="10" t="str">
        <f aca="false">IF(D15="","",$B$4-SUM($D$8:D15))</f>
        <v/>
      </c>
    </row>
    <row r="16" customFormat="false" ht="15" hidden="false" customHeight="true" outlineLevel="0" collapsed="false">
      <c r="A16" s="72"/>
      <c r="B16" s="73"/>
      <c r="C16" s="73"/>
      <c r="D16" s="74"/>
      <c r="E16" s="10" t="str">
        <f aca="false">IF(D16="","",$B$4-SUM($D$8:D16))</f>
        <v/>
      </c>
    </row>
    <row r="17" customFormat="false" ht="15" hidden="false" customHeight="true" outlineLevel="0" collapsed="false">
      <c r="A17" s="72"/>
      <c r="B17" s="73"/>
      <c r="C17" s="73"/>
      <c r="D17" s="74"/>
      <c r="E17" s="10" t="str">
        <f aca="false">IF(D17="","",$B$4-SUM($D$8:D17))</f>
        <v/>
      </c>
    </row>
    <row r="18" customFormat="false" ht="15" hidden="false" customHeight="true" outlineLevel="0" collapsed="false">
      <c r="A18" s="72"/>
      <c r="B18" s="73"/>
      <c r="C18" s="73"/>
      <c r="D18" s="74"/>
      <c r="E18" s="10" t="str">
        <f aca="false">IF(D18="","",$B$4-SUM($D$8:D18))</f>
        <v/>
      </c>
    </row>
    <row r="19" customFormat="false" ht="15" hidden="false" customHeight="true" outlineLevel="0" collapsed="false">
      <c r="A19" s="72"/>
      <c r="B19" s="73"/>
      <c r="C19" s="73"/>
      <c r="D19" s="74"/>
      <c r="E19" s="10" t="str">
        <f aca="false">IF(D19="","",$B$4-SUM($D$8:D19))</f>
        <v/>
      </c>
    </row>
    <row r="20" customFormat="false" ht="15" hidden="false" customHeight="true" outlineLevel="0" collapsed="false">
      <c r="A20" s="72"/>
      <c r="B20" s="73"/>
      <c r="C20" s="73"/>
      <c r="D20" s="74"/>
      <c r="E20" s="10" t="str">
        <f aca="false">IF(D20="","",$B$4-SUM($D$8:D20))</f>
        <v/>
      </c>
    </row>
    <row r="21" customFormat="false" ht="15" hidden="false" customHeight="true" outlineLevel="0" collapsed="false">
      <c r="A21" s="72"/>
      <c r="B21" s="73"/>
      <c r="C21" s="73"/>
      <c r="D21" s="74"/>
      <c r="E21" s="10" t="str">
        <f aca="false">IF(D21="","",$B$4-SUM($D$8:D21))</f>
        <v/>
      </c>
    </row>
    <row r="22" customFormat="false" ht="15" hidden="false" customHeight="true" outlineLevel="0" collapsed="false">
      <c r="A22" s="72"/>
      <c r="B22" s="73"/>
      <c r="C22" s="73"/>
      <c r="D22" s="74"/>
      <c r="E22" s="10" t="str">
        <f aca="false">IF(D22="","",$B$4-SUM($D$8:D22))</f>
        <v/>
      </c>
    </row>
    <row r="23" customFormat="false" ht="15" hidden="false" customHeight="true" outlineLevel="0" collapsed="false">
      <c r="A23" s="72"/>
      <c r="B23" s="73"/>
      <c r="C23" s="73"/>
      <c r="D23" s="74"/>
      <c r="E23" s="10" t="str">
        <f aca="false">IF(D23="","",$B$4-SUM($D$8:D23))</f>
        <v/>
      </c>
    </row>
    <row r="24" customFormat="false" ht="15" hidden="false" customHeight="true" outlineLevel="0" collapsed="false">
      <c r="A24" s="72"/>
      <c r="B24" s="73"/>
      <c r="C24" s="73"/>
      <c r="D24" s="74"/>
      <c r="E24" s="10" t="str">
        <f aca="false">IF(D24="","",$B$4-SUM($D$8:D24))</f>
        <v/>
      </c>
    </row>
    <row r="25" customFormat="false" ht="15" hidden="false" customHeight="true" outlineLevel="0" collapsed="false">
      <c r="A25" s="72"/>
      <c r="B25" s="73"/>
      <c r="C25" s="73"/>
      <c r="D25" s="74"/>
      <c r="E25" s="10" t="str">
        <f aca="false">IF(D25="","",$B$4-SUM($D$8:D25))</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2026-07-13T22:53:36Z</dcterms:created>
  <dc:creator>openpyxl</dc:creator>
  <dc:description/>
  <dc:language>en-US</dc:language>
  <cp:lastModifiedBy/>
  <dcterms:modified xsi:type="dcterms:W3CDTF">2026-09-08T21:52:01Z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