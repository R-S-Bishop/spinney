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voicing Schedule" sheetId="2" state="visible" r:id="rId4"/>
    <sheet name="Cost Lines" sheetId="3" state="visible" r:id="rId5"/>
    <sheet name="Invoice Register" sheetId="4" state="visible" r:id="rId6"/>
    <sheet name="Materials Receipts" sheetId="5" state="visible" r:id="rId7"/>
    <sheet name="Contingency Drawdow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<sst xmlns="http://schemas.openxmlformats.org/spreadsheetml/2006/main" count="299" uniqueCount="168">
  <si>
    <t xml:space="preserve">Spinney External Works — Budget Summary</t>
  </si>
  <si>
    <t xml:space="preserve">Last updated:</t>
  </si>
  <si>
    <t xml:space="preserve">All figures gross (as payable). Invoiced / Paid pull automatically from the Invoice Register; Contingency remaining pulls from the Drawdown sheet.</t>
  </si>
  <si>
    <t xml:space="preserve">Cost centre</t>
  </si>
  <si>
    <t xml:space="preserve">Supplier</t>
  </si>
  <si>
    <t xml:space="preserve">Committed £</t>
  </si>
  <si>
    <t xml:space="preserve">Invoiced £</t>
  </si>
  <si>
    <t xml:space="preserve">Paid £</t>
  </si>
  <si>
    <t xml:space="preserve">Remaining vs committed £</t>
  </si>
  <si>
    <t xml:space="preserve">Notes</t>
  </si>
  <si>
    <t xml:space="preserve">Decking materials</t>
  </si>
  <si>
    <t xml:space="preserve">V4 Wood Flooring Ltd</t>
  </si>
  <si>
    <t xml:space="preserve">Order amended to all Ashwood + flexible bullnose (1 Jul). PAID IN FULL 9 Jul, ref V4FQ-15584. 25% restocking on over-ordering — unlikely given curved design + offcuts project, but noted.</t>
  </si>
  <si>
    <t xml:space="preserve">Decking labour &amp; rubbish</t>
  </si>
  <si>
    <t xml:space="preserve">LG Building and Roofing Ltd</t>
  </si>
  <si>
    <t xml:space="preserve">£17,600 labour (no VAT) + £1,200 rubbish removal. RISK: price 'fairly accurate' pending Luke's structure/ground assessment.</t>
  </si>
  <si>
    <t xml:space="preserve">Contingency</t>
  </si>
  <si>
    <t xml:space="preserve">—</t>
  </si>
  <si>
    <t xml:space="preserve">Covers: fence move/repair labour; soakaway fix before decking; drainage by garage; extra curved-decking labour; cement &amp; bricks. Luke's labour drawn from this pot attracts the 10% discount (extended 20 Jul). See Contingency Drawdown sheet.</t>
  </si>
  <si>
    <t xml:space="preserve">Chimney repair</t>
  </si>
  <si>
    <t xml:space="preserve">Quoted separately (2 Jun). Labour £2,880 (10% discount, 20 Jul) no VAT + £80 rubbish; scaffolding £1,500 share of combined invoice; materials in pooled budget.</t>
  </si>
  <si>
    <t xml:space="preserve">Coping stones repair</t>
  </si>
  <si>
    <t xml:space="preserve">Quoted separately (3 Jun). Labour £3,420 (10% discount, 20 Jul) no VAT + £80 rubbish; scaffolding £1,700 share. RISK: damage to coping stones on removal could substantially increase cost. Materials in pooled budget.</t>
  </si>
  <si>
    <t xml:space="preserve">Materials (pooled)</t>
  </si>
  <si>
    <t xml:space="preserve">Merchant trade accounts</t>
  </si>
  <si>
    <t xml:space="preserve">Pooled chimney (£480) + coping (£650) materials budget — decision 20 Jul. Purchased via merchant trade accounts (Dry Lining Supplies, Travis Perkins etc.), cleared on receipts. Detail on Materials Receipts sheet.</t>
  </si>
  <si>
    <t xml:space="preserve">Core project (Luke's ~£56,800 outline)</t>
  </si>
  <si>
    <t xml:space="preserve">Chimney + coping incl. pooled materials</t>
  </si>
  <si>
    <t xml:space="preserve">PROJECT TOTAL</t>
  </si>
  <si>
    <t xml:space="preserve">Contingency remaining:</t>
  </si>
  <si>
    <t xml:space="preserve">Invoicing Schedule — expected invoice events</t>
  </si>
  <si>
    <t xml:space="preserve">Terms: 10% labour discount on all Luke phases except decking labour and scaffolding. Chimney &amp; coping settle as SINGLE CASH PAYMENTS on phase completion (agreed Lara/Ryan 20 Jul; TBC with Luke 21 Jul). Log every payment on the Invoice Register — this sheet is expectations, the Register is the record.</t>
  </si>
  <si>
    <t xml:space="preserve">#</t>
  </si>
  <si>
    <t xml:space="preserve">Trigger event</t>
  </si>
  <si>
    <t xml:space="preserve">Payee</t>
  </si>
  <si>
    <t xml:space="preserve">Basis</t>
  </si>
  <si>
    <t xml:space="preserve">Est. £</t>
  </si>
  <si>
    <t xml:space="preserve">Status</t>
  </si>
  <si>
    <t xml:space="preserve">Order placed — PAID IN FULL 9 Jul</t>
  </si>
  <si>
    <t xml:space="preserve">Invoice V4FQ-15584 (Register row 1)</t>
  </si>
  <si>
    <t xml:space="preserve">Paid</t>
  </si>
  <si>
    <t xml:space="preserve">All-Ashwood + flexible bullnose; 144.9 m²</t>
  </si>
  <si>
    <t xml:space="preserve">Chimney + Coping (scaffold)</t>
  </si>
  <si>
    <t xml:space="preserve">Erection complete (17–18 Jul) — PAID</t>
  </si>
  <si>
    <t xml:space="preserve">Scaffolder (direct)</t>
  </si>
  <si>
    <t xml:space="preserve">£2,000 in cash (of £3,200 combined)</t>
  </si>
  <si>
    <t xml:space="preserve">Logged in Register: £937.50 chimney + £1,062.50 coping (pro-rata of £1,500/£1,700)</t>
  </si>
  <si>
    <t xml:space="preserve">Strike, after Gate 1 sign-off</t>
  </si>
  <si>
    <t xml:space="preserve">£1,200 cash balance on strike</t>
  </si>
  <si>
    <t xml:space="preserve">Agreed</t>
  </si>
  <si>
    <t xml:space="preserve">Log in Register: £562.50 chimney + £637.50 coping</t>
  </si>
  <si>
    <t xml:space="preserve">Phase completion — SINGLE cash payment</t>
  </si>
  <si>
    <t xml:space="preserve">Labour £2,880 (10% disc.) + rubbish £80 = £2,960; less £111.71 prepaid (work platform)</t>
  </si>
  <si>
    <t xml:space="preserve">Lara/Ryan agreed — TBC Luke 21 Jul</t>
  </si>
  <si>
    <t xml:space="preserve">CASH DUE ON COMPLETION: £2,848.29. One-week phase — no interim invoice</t>
  </si>
  <si>
    <t xml:space="preserve">Labour £3,420 (10% disc.) + rubbish £80 = £3,500</t>
  </si>
  <si>
    <t xml:space="preserve">CASH DUE ON COMPLETION: £3,500.00</t>
  </si>
  <si>
    <t xml:space="preserve">4–5 stages — triggers TBC with Luke/Lara</t>
  </si>
  <si>
    <t xml:space="preserve">£18,800 total across stages. EXCLUDED from 10% labour discount</t>
  </si>
  <si>
    <t xml:space="preserve">Approved 20 Jul</t>
  </si>
  <si>
    <t xml:space="preserve">Suggested triggers: start / substructure (a) / Gate 2 / substructure (b) / Gate 3 — to be pinned</t>
  </si>
  <si>
    <t xml:space="preserve">Periodic — on receipts</t>
  </si>
  <si>
    <t xml:space="preserve">Merchant trade accounts (Dry Lining Supplies, TP etc.)</t>
  </si>
  <si>
    <t xml:space="preserve">Pooled £1,130 budget (chimney £480 + coping £650)</t>
  </si>
  <si>
    <t xml:space="preserve">Agreed in principle</t>
  </si>
  <si>
    <t xml:space="preserve">Log each receipt in Register + Materials Receipts sheet</t>
  </si>
  <si>
    <t xml:space="preserve">Rainy-day tasks 100% on completion; named extras as incurred</t>
  </si>
  <si>
    <t xml:space="preserve">LG Building / merchants</t>
  </si>
  <si>
    <t xml:space="preserve">£5,000 pot — fence labour, soakaway fix, garage drainage, curved-deck extras, cement &amp; bricks. Labour at 10% discount</t>
  </si>
  <si>
    <t xml:space="preserve">Curved-decking extra labour discount TBC (decking exclusion boundary). Each drawdown also on Contingency Drawdown sheet</t>
  </si>
  <si>
    <t xml:space="preserve">SCHEDULE TOTAL (all rows):</t>
  </si>
  <si>
    <t xml:space="preserve">Pooled £1,130 budget — log each receipt in Register + Materials Receipts sheet</t>
  </si>
  <si>
    <t xml:space="preserve">Rainy-day tasks invoiced 100% on completion; named extras as incurred</t>
  </si>
  <si>
    <t xml:space="preserve">LG Building / Travis Perkins</t>
  </si>
  <si>
    <t xml:space="preserve">Summary tab committed total:</t>
  </si>
  <si>
    <t xml:space="preserve">Rainy-day tasks invoiced 100% on completion, labour less 10%. Curved-decking extra labour discount TBC. Each drawdown also logged on Contingency Drawdown sheet</t>
  </si>
  <si>
    <t xml:space="preserve">Difference (must be £0.00):</t>
  </si>
  <si>
    <t xml:space="preserve">Cost Lines — every line item from LG estimates and the V4 invoice</t>
  </si>
  <si>
    <t xml:space="preserve">Source documents: LG chimney estimate 2 Jun 2026 · LG coping estimate 3 Jun 2026 · LG decking estimate 3 Jun 2026 · V4 invoice V4FQ-15584, 9 Jul 2026.</t>
  </si>
  <si>
    <t xml:space="preserve">Line item</t>
  </si>
  <si>
    <t xml:space="preserve">Qty</t>
  </si>
  <si>
    <t xml:space="preserve">Unit £</t>
  </si>
  <si>
    <t xml:space="preserve">Line total £</t>
  </si>
  <si>
    <t xml:space="preserve">VAT</t>
  </si>
  <si>
    <t xml:space="preserve">Payment route</t>
  </si>
  <si>
    <t xml:space="preserve">LG Building</t>
  </si>
  <si>
    <t xml:space="preserve">Labour — remove render, k-rend sealer, base + top coat, render crown, storm-dry cream</t>
  </si>
  <si>
    <t xml:space="preserve">No VAT</t>
  </si>
  <si>
    <t xml:space="preserve">LG invoice</t>
  </si>
  <si>
    <t xml:space="preserve">Original quote £3,200; 10% labour discount agreed 20 Jul (Ryan/Luke): −£320</t>
  </si>
  <si>
    <t xml:space="preserve">Tubular scaffolding — all four sides of chimney and crown</t>
  </si>
  <si>
    <t xml:space="preserve">Inc VAT</t>
  </si>
  <si>
    <t xml:space="preserve">Paid directly</t>
  </si>
  <si>
    <t xml:space="preserve">Combined £3,200, cash terms (20 Jul): £2,000 paid following erection; £1,200 balance on strike.</t>
  </si>
  <si>
    <t xml:space="preserve">Materials (chimney estimate — pooled 20 Jul)</t>
  </si>
  <si>
    <t xml:space="preserve">Trade accounts — cleared on receipts</t>
  </si>
  <si>
    <t xml:space="preserve">Rubbish removal</t>
  </si>
  <si>
    <t xml:space="preserve">Labour — remove/reset copings, slate cap, render, lead flashings to parapet rear</t>
  </si>
  <si>
    <t xml:space="preserve">Original quote £3,800; 10% labour discount agreed 20 Jul (Ryan/Luke): −£380. RISK: stone damage on removal could substantially increase cost</t>
  </si>
  <si>
    <t xml:space="preserve">Tubular scaffolding with winch system</t>
  </si>
  <si>
    <t xml:space="preserve">Materials (coping estimate — pooled 20 Jul)</t>
  </si>
  <si>
    <t xml:space="preserve">Labour — remove old decking &amp; frame, construct composite frame, install deck to spec</t>
  </si>
  <si>
    <t xml:space="preserve">RISK: pending structure/ground assessment. EXCLUDED from 10% labour discount (20 Jul).</t>
  </si>
  <si>
    <t xml:space="preserve">Rubbish removal (8-yard skips ×2, possibly 3)</t>
  </si>
  <si>
    <t xml:space="preserve">V4 Wood Flooring</t>
  </si>
  <si>
    <t xml:space="preserve">Millboard Ashwood 176mm Moulded Lastane (144.90 m²)</t>
  </si>
  <si>
    <t xml:space="preserve">In net</t>
  </si>
  <si>
    <t xml:space="preserve">V4 invoice — PAID</t>
  </si>
  <si>
    <t xml:space="preserve">Millboard Ashwood Moulded Lastane — MFN360H</t>
  </si>
  <si>
    <t xml:space="preserve">Millboard Ashwood Moulded Lastane — MEBB360H (flexible bullnose)</t>
  </si>
  <si>
    <t xml:space="preserve">For curved upper level</t>
  </si>
  <si>
    <t xml:space="preserve">Millboard Step Edge — Ashwood Moulded Lastane</t>
  </si>
  <si>
    <t xml:space="preserve">Stainless steel screws 45mm — boxes</t>
  </si>
  <si>
    <t xml:space="preserve">Durafix Trimhead 35mm SS screws — box of 100 (FT35P100)</t>
  </si>
  <si>
    <t xml:space="preserve">Plas-Pro bearer/joist black 3.0m 50×125mm composite (P1205B300)</t>
  </si>
  <si>
    <t xml:space="preserve">Subframe — the bulk of the tonnage</t>
  </si>
  <si>
    <t xml:space="preserve">Subframe hexhead screws — box of 50 (FH90P050)</t>
  </si>
  <si>
    <t xml:space="preserve">Millboard touch-up paint — Ashwood (AP500H)</t>
  </si>
  <si>
    <t xml:space="preserve">Millboard multi-spacer — pack of 10 (FP36P010)</t>
  </si>
  <si>
    <t xml:space="preserve">VAT on order</t>
  </si>
  <si>
    <t xml:space="preserve">Net £26,857.49 + VAT = £32,228.99</t>
  </si>
  <si>
    <t xml:space="preserve">TBC</t>
  </si>
  <si>
    <t xml:space="preserve">Contingency pot — fence labour, soakaway fix, garage drainage, curved-deck labour, cement &amp; bricks</t>
  </si>
  <si>
    <t xml:space="preserve">As incurred</t>
  </si>
  <si>
    <t xml:space="preserve">Track on Contingency Drawdown sheet. Labour invoices from this pot at 10% discount (extended 20 Jul); materials (cement/bricks) full price. Curved-decking extra labour: discount status TBC with Luke (decking exclusion boundary).</t>
  </si>
  <si>
    <t xml:space="preserve">TOTAL (all lines)</t>
  </si>
  <si>
    <t xml:space="preserve">Invoice &amp; Payment Register — add a row per invoice received</t>
  </si>
  <si>
    <t xml:space="preserve">Yellow cells are inputs. Cost centre must match the Summary sheet names exactly (dropdown-free by design — copy from row 5). Paid date empty = outstanding.</t>
  </si>
  <si>
    <t xml:space="preserve">Invoice date</t>
  </si>
  <si>
    <t xml:space="preserve">Reference</t>
  </si>
  <si>
    <t xml:space="preserve">Description</t>
  </si>
  <si>
    <t xml:space="preserve">Amount £ (gross)</t>
  </si>
  <si>
    <t xml:space="preserve">Paid date</t>
  </si>
  <si>
    <t xml:space="preserve">Method</t>
  </si>
  <si>
    <t xml:space="preserve">V4FQ-15584</t>
  </si>
  <si>
    <t xml:space="preserve">Millboard Ashwood decking + Plas-Pro subframe, fixings (144.9 m²)</t>
  </si>
  <si>
    <t xml:space="preserve">Amex</t>
  </si>
  <si>
    <t xml:space="preserve">Paid in full at order</t>
  </si>
  <si>
    <t xml:space="preserve">Dry Lining Supplies Ltd</t>
  </si>
  <si>
    <t xml:space="preserve">RECB000NNIVB49XWEXOG</t>
  </si>
  <si>
    <t xml:space="preserve">Render materials (shared chimney+coping): mesh, Weberend Aid ×6, beads, SBR, rubble sacks</t>
  </si>
  <si>
    <t xml:space="preserve">Pay By Link</t>
  </si>
  <si>
    <t xml:space="preserve">Project-materials share of £423.69 receipt</t>
  </si>
  <si>
    <t xml:space="preserve">Folding work platform 600mm — Luke's equipment, non-project</t>
  </si>
  <si>
    <t xml:space="preserve">PREPAYMENT vs chimney phase-start invoice: pay £1,528.29 of the £1,640 when it lands</t>
  </si>
  <si>
    <t xml:space="preserve">Scaffolder (via Trevor)</t>
  </si>
  <si>
    <t xml:space="preserve">Cash</t>
  </si>
  <si>
    <t xml:space="preserve">Scaffold erection payment — chimney share (pro-rata of £2,000 cash)</t>
  </si>
  <si>
    <t xml:space="preserve">£2,000 paid following erection 17–18 Jul; amend date cell if payment day differed</t>
  </si>
  <si>
    <t xml:space="preserve">Scaffold erection payment — coping share (pro-rata of £2,000 cash)</t>
  </si>
  <si>
    <t xml:space="preserve">Balance £1,200 due on strike</t>
  </si>
  <si>
    <t xml:space="preserve">Materials Receipts — pooled budget drawdown</t>
  </si>
  <si>
    <t xml:space="preserve">Pooled budget £1,130 (chimney £480 + coping £650, pooled 20 Jul). Log every merchant receipt here AND on the Invoice Register (cost centre: Materials (pooled)) — this sheet is the pool detail, the Register is the money record.</t>
  </si>
  <si>
    <t xml:space="preserve">Opening pool:</t>
  </si>
  <si>
    <t xml:space="preserve">Remaining:</t>
  </si>
  <si>
    <t xml:space="preserve">Date</t>
  </si>
  <si>
    <t xml:space="preserve">Merchant</t>
  </si>
  <si>
    <t xml:space="preserve">Items (summary)</t>
  </si>
  <si>
    <t xml:space="preserve">Phase / use</t>
  </si>
  <si>
    <t xml:space="preserve">Amount £</t>
  </si>
  <si>
    <t xml:space="preserve">Running remaining £</t>
  </si>
  <si>
    <t xml:space="preserve">Render mesh, Weberend Aid ×6, angle/stop beads, rubble sacks, Bond It SBR 5l (project share; £111.71 platform excluded — Luke's equipment)</t>
  </si>
  <si>
    <t xml:space="preserve">Render (chimney + coping, shared)</t>
  </si>
  <si>
    <t xml:space="preserve">Contingency Drawdown — £5,000 pot (agreed Lara/Luke, 1 Jul 2026)</t>
  </si>
  <si>
    <t xml:space="preserve">Named purposes: fence move/repair labour · soakaway fix before decking · drainage by the garage · additional curved-decking labour · cement &amp; bricks. Luke's labour from this pot invoiced at 10% discount (extended 20 Jul); materials full price. Curved-decking extra labour discount status TBC.</t>
  </si>
  <si>
    <t xml:space="preserve">Opening pot:</t>
  </si>
  <si>
    <t xml:space="preserve">Purpose</t>
  </si>
  <si>
    <t xml:space="preserve">Supplier / detail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</si>
</sst>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Georgia"/>
      <family val="0"/>
      <charset val="1"/>
    </font>
    <font>
      <b val="true"/>
      <sz val="11"/>
      <color rgb="FF1F2937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1"/>
      <color rgb="FF0F766E"/>
      <name val="Calibri"/>
      <family val="0"/>
      <charset val="1"/>
    </font>
    <font>
      <b val="true"/>
      <sz val="12"/>
      <color rgb="FF0F766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color rgb="FF0F766E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EF3C7"/>
      </patternFill>
    </fill>
    <fill>
      <patternFill patternType="solid">
        <fgColor rgb="FF0F766E"/>
        <bgColor rgb="FF0D9488"/>
      </patternFill>
    </fill>
    <fill>
      <patternFill patternType="solid">
        <fgColor rgb="FFF0FDFA"/>
        <bgColor rgb="FFF3F4F6"/>
      </patternFill>
    </fill>
    <fill>
      <patternFill patternType="solid">
        <fgColor rgb="FFFEE2E2"/>
        <bgColor rgb="FFFEF3C7"/>
      </patternFill>
    </fill>
    <fill>
      <patternFill patternType="solid">
        <fgColor rgb="FFF3F4F6"/>
        <bgColor rgb="FFF0FDFA"/>
      </patternFill>
    </fill>
    <fill>
      <patternFill patternType="solid">
        <fgColor rgb="FFCCFBF1"/>
        <bgColor rgb="FFF0FDFA"/>
      </patternFill>
    </fill>
    <fill>
      <patternFill patternType="solid">
        <fgColor rgb="FF0D9488"/>
        <bgColor rgb="FF339966"/>
      </patternFill>
    </fill>
    <fill>
      <patternFill patternType="solid">
        <fgColor rgb="FFFEF3C7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0FDFA"/>
      <rgbColor rgb="FFF3F4F6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5" min="3" style="1" width="14"/>
    <col collapsed="false" customWidth="true" hidden="false" outlineLevel="0" max="6" min="6" style="1" width="20"/>
    <col collapsed="false" customWidth="true" hidden="false" outlineLevel="0" max="7" min="7" style="1" width="5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46216</v>
      </c>
      <c r="C2" s="5" t="s">
        <v>2</v>
      </c>
    </row>
    <row r="4" customFormat="false" ht="15" hidden="false" customHeight="true" outlineLevel="0" collapsed="fals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</row>
    <row r="5" customFormat="false" ht="34.5" hidden="false" customHeight="true" outlineLevel="0" collapsed="false">
      <c r="A5" s="7" t="s">
        <v>10</v>
      </c>
      <c r="B5" s="8" t="s">
        <v>11</v>
      </c>
      <c r="C5" s="9" t="n">
        <v>32228.99</v>
      </c>
      <c r="D5" s="10" t="n">
        <f aca="false">SUMIF('Invoice Register'!$B:$B,$A5,'Invoice Register'!$F:$F)</f>
        <v>32228.99</v>
      </c>
      <c r="E5" s="10" t="n">
        <f aca="false">SUMIFS('Invoice Register'!$F:$F,'Invoice Register'!$B:$B,$A5,'Invoice Register'!$G:$G,"&lt;&gt;")</f>
        <v>32228.99</v>
      </c>
      <c r="F5" s="10" t="n">
        <f aca="false">C5-D5</f>
        <v>0</v>
      </c>
      <c r="G5" s="11" t="s">
        <v>12</v>
      </c>
    </row>
    <row r="6" customFormat="false" ht="27.75" hidden="false" customHeight="true" outlineLevel="0" collapsed="false">
      <c r="A6" s="7" t="s">
        <v>13</v>
      </c>
      <c r="B6" s="8" t="s">
        <v>14</v>
      </c>
      <c r="C6" s="9" t="n">
        <v>18800</v>
      </c>
      <c r="D6" s="10" t="n">
        <f aca="false">SUMIF('Invoice Register'!$B:$B,$A6,'Invoice Register'!$F:$F)</f>
        <v>0</v>
      </c>
      <c r="E6" s="10" t="n">
        <f aca="false">SUMIFS('Invoice Register'!$F:$F,'Invoice Register'!$B:$B,$A6,'Invoice Register'!$G:$G,"&lt;&gt;")</f>
        <v>0</v>
      </c>
      <c r="F6" s="10" t="n">
        <f aca="false">C6-D6</f>
        <v>18800</v>
      </c>
      <c r="G6" s="12" t="s">
        <v>15</v>
      </c>
    </row>
    <row r="7" customFormat="false" ht="34.5" hidden="false" customHeight="true" outlineLevel="0" collapsed="false">
      <c r="A7" s="7" t="s">
        <v>16</v>
      </c>
      <c r="B7" s="8" t="s">
        <v>17</v>
      </c>
      <c r="C7" s="9" t="n">
        <v>5000</v>
      </c>
      <c r="D7" s="10" t="n">
        <f aca="false">SUMIF('Invoice Register'!$B:$B,$A7,'Invoice Register'!$F:$F)</f>
        <v>0</v>
      </c>
      <c r="E7" s="10" t="n">
        <f aca="false">SUMIFS('Invoice Register'!$F:$F,'Invoice Register'!$B:$B,$A7,'Invoice Register'!$G:$G,"&lt;&gt;")</f>
        <v>0</v>
      </c>
      <c r="F7" s="10" t="n">
        <f aca="false">C7-D7</f>
        <v>5000</v>
      </c>
      <c r="G7" s="11" t="s">
        <v>18</v>
      </c>
    </row>
    <row r="8" customFormat="false" ht="27.75" hidden="false" customHeight="true" outlineLevel="0" collapsed="false">
      <c r="A8" s="7" t="s">
        <v>19</v>
      </c>
      <c r="B8" s="8" t="s">
        <v>14</v>
      </c>
      <c r="C8" s="9" t="n">
        <v>4460</v>
      </c>
      <c r="D8" s="10" t="n">
        <f aca="false">SUMIF('Invoice Register'!$B:$B,$A8,'Invoice Register'!$F:$F)</f>
        <v>1049.21</v>
      </c>
      <c r="E8" s="10" t="n">
        <f aca="false">SUMIFS('Invoice Register'!$F:$F,'Invoice Register'!$B:$B,$A8,'Invoice Register'!$G:$G,"&lt;&gt;")</f>
        <v>1049.21</v>
      </c>
      <c r="F8" s="10" t="n">
        <f aca="false">C8-D8</f>
        <v>3410.79</v>
      </c>
      <c r="G8" s="11" t="s">
        <v>20</v>
      </c>
    </row>
    <row r="9" customFormat="false" ht="27.75" hidden="false" customHeight="true" outlineLevel="0" collapsed="false">
      <c r="A9" s="7" t="s">
        <v>21</v>
      </c>
      <c r="B9" s="8" t="s">
        <v>14</v>
      </c>
      <c r="C9" s="9" t="n">
        <v>5200</v>
      </c>
      <c r="D9" s="10" t="n">
        <f aca="false">SUMIF('Invoice Register'!$B:$B,$A9,'Invoice Register'!$F:$F)</f>
        <v>1062.5</v>
      </c>
      <c r="E9" s="10" t="n">
        <f aca="false">SUMIFS('Invoice Register'!$F:$F,'Invoice Register'!$B:$B,$A9,'Invoice Register'!$G:$G,"&lt;&gt;")</f>
        <v>1062.5</v>
      </c>
      <c r="F9" s="10" t="n">
        <f aca="false">C9-D9</f>
        <v>4137.5</v>
      </c>
      <c r="G9" s="12" t="s">
        <v>22</v>
      </c>
    </row>
    <row r="10" customFormat="false" ht="15" hidden="false" customHeight="true" outlineLevel="0" collapsed="false">
      <c r="A10" s="7" t="s">
        <v>23</v>
      </c>
      <c r="B10" s="8" t="s">
        <v>24</v>
      </c>
      <c r="C10" s="9" t="n">
        <v>1130</v>
      </c>
      <c r="D10" s="10" t="n">
        <f aca="false">SUMIF('Invoice Register'!$B:$B,$A10,'Invoice Register'!$F:$F)</f>
        <v>311.98</v>
      </c>
      <c r="E10" s="10" t="n">
        <f aca="false">SUMIFS('Invoice Register'!$F:$F,'Invoice Register'!$B:$B,$A10,'Invoice Register'!$G:$G,"&lt;&gt;")</f>
        <v>311.98</v>
      </c>
      <c r="F10" s="10" t="n">
        <f aca="false">C10-D10</f>
        <v>818.02</v>
      </c>
      <c r="G10" s="11" t="s">
        <v>25</v>
      </c>
    </row>
    <row r="11" customFormat="false" ht="15" hidden="false" customHeight="true" outlineLevel="0" collapsed="false">
      <c r="A11" s="13" t="s">
        <v>26</v>
      </c>
      <c r="B11" s="14"/>
      <c r="C11" s="15" t="n">
        <f aca="false">C5+C6+C7</f>
        <v>56028.99</v>
      </c>
      <c r="D11" s="15" t="n">
        <f aca="false">D5+D6+D7</f>
        <v>32228.99</v>
      </c>
      <c r="E11" s="15" t="n">
        <f aca="false">E5+E6+E7</f>
        <v>32228.99</v>
      </c>
      <c r="F11" s="15" t="n">
        <f aca="false">F5+F6+F7</f>
        <v>23800</v>
      </c>
      <c r="G11" s="14"/>
    </row>
    <row r="12" customFormat="false" ht="15" hidden="false" customHeight="true" outlineLevel="0" collapsed="false">
      <c r="A12" s="13" t="s">
        <v>27</v>
      </c>
      <c r="B12" s="14"/>
      <c r="C12" s="15" t="n">
        <f aca="false">C8+C9+C10</f>
        <v>10790</v>
      </c>
      <c r="D12" s="15" t="n">
        <f aca="false">D8+D9+D10</f>
        <v>2423.69</v>
      </c>
      <c r="E12" s="15" t="n">
        <f aca="false">E8+E9+E10</f>
        <v>2423.69</v>
      </c>
      <c r="F12" s="15" t="n">
        <f aca="false">F8+F9+F10</f>
        <v>8366.31</v>
      </c>
      <c r="G12" s="14"/>
    </row>
    <row r="13" customFormat="false" ht="15" hidden="false" customHeight="true" outlineLevel="0" collapsed="false">
      <c r="A13" s="16" t="s">
        <v>28</v>
      </c>
      <c r="B13" s="17"/>
      <c r="C13" s="18" t="n">
        <f aca="false">C11+C12</f>
        <v>66818.99</v>
      </c>
      <c r="D13" s="18" t="n">
        <f aca="false">D11+D12</f>
        <v>34652.68</v>
      </c>
      <c r="E13" s="18" t="n">
        <f aca="false">E11+E12</f>
        <v>34652.68</v>
      </c>
      <c r="F13" s="18" t="n">
        <f aca="false">F11+F12</f>
        <v>32166.31</v>
      </c>
      <c r="G13" s="17"/>
    </row>
    <row r="14" customFormat="false" ht="15" hidden="false" customHeight="true" outlineLevel="0" collapsed="false"/>
    <row r="15" customFormat="false" ht="15" hidden="false" customHeight="true" outlineLevel="0" collapsed="false">
      <c r="A15" s="3" t="s">
        <v>29</v>
      </c>
      <c r="B15" s="19" t="n">
        <f aca="false">'Contingency Drawdown'!$D$4</f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5" min="4" style="1" width="30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4"/>
  </cols>
  <sheetData>
    <row r="1" customFormat="false" ht="19.5" hidden="false" customHeight="true" outlineLevel="0" collapsed="false">
      <c r="A1" s="2" t="s">
        <v>30</v>
      </c>
    </row>
    <row r="2" customFormat="false" ht="15" hidden="false" customHeight="true" outlineLevel="0" collapsed="false">
      <c r="A2" s="5" t="s">
        <v>31</v>
      </c>
    </row>
    <row r="4" customFormat="false" ht="15" hidden="false" customHeight="true" outlineLevel="0" collapsed="false">
      <c r="A4" s="6" t="s">
        <v>32</v>
      </c>
      <c r="B4" s="6" t="s">
        <v>3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9</v>
      </c>
    </row>
    <row r="5" customFormat="false" ht="15" hidden="false" customHeight="true" outlineLevel="0" collapsed="false">
      <c r="A5" s="20" t="n">
        <v>1</v>
      </c>
      <c r="B5" s="8" t="s">
        <v>10</v>
      </c>
      <c r="C5" s="8" t="s">
        <v>38</v>
      </c>
      <c r="D5" s="8" t="s">
        <v>11</v>
      </c>
      <c r="E5" s="8" t="s">
        <v>39</v>
      </c>
      <c r="F5" s="21" t="n">
        <v>32228.99</v>
      </c>
      <c r="G5" s="22" t="s">
        <v>40</v>
      </c>
      <c r="H5" s="8" t="s">
        <v>41</v>
      </c>
    </row>
    <row r="6" customFormat="false" ht="15" hidden="false" customHeight="true" outlineLevel="0" collapsed="false">
      <c r="A6" s="20" t="n">
        <v>2</v>
      </c>
      <c r="B6" s="8" t="s">
        <v>42</v>
      </c>
      <c r="C6" s="8" t="s">
        <v>43</v>
      </c>
      <c r="D6" s="8" t="s">
        <v>44</v>
      </c>
      <c r="E6" s="8" t="s">
        <v>45</v>
      </c>
      <c r="F6" s="21" t="n">
        <v>2000</v>
      </c>
      <c r="G6" s="22" t="s">
        <v>40</v>
      </c>
      <c r="H6" s="8" t="s">
        <v>46</v>
      </c>
    </row>
    <row r="7" customFormat="false" ht="15" hidden="false" customHeight="true" outlineLevel="0" collapsed="false">
      <c r="A7" s="20" t="n">
        <v>3</v>
      </c>
      <c r="B7" s="8" t="s">
        <v>42</v>
      </c>
      <c r="C7" s="8" t="s">
        <v>47</v>
      </c>
      <c r="D7" s="8" t="s">
        <v>44</v>
      </c>
      <c r="E7" s="8" t="s">
        <v>48</v>
      </c>
      <c r="F7" s="21" t="n">
        <v>1200</v>
      </c>
      <c r="G7" s="23" t="s">
        <v>49</v>
      </c>
      <c r="H7" s="8" t="s">
        <v>50</v>
      </c>
    </row>
    <row r="8" customFormat="false" ht="15" hidden="false" customHeight="true" outlineLevel="0" collapsed="false">
      <c r="A8" s="20" t="n">
        <v>4</v>
      </c>
      <c r="B8" s="8" t="s">
        <v>19</v>
      </c>
      <c r="C8" s="8" t="s">
        <v>51</v>
      </c>
      <c r="D8" s="8" t="s">
        <v>14</v>
      </c>
      <c r="E8" s="8" t="s">
        <v>52</v>
      </c>
      <c r="F8" s="21" t="n">
        <v>2960</v>
      </c>
      <c r="G8" s="24" t="s">
        <v>53</v>
      </c>
      <c r="H8" s="8" t="s">
        <v>54</v>
      </c>
    </row>
    <row r="9" customFormat="false" ht="15" hidden="false" customHeight="true" outlineLevel="0" collapsed="false">
      <c r="A9" s="20" t="n">
        <v>5</v>
      </c>
      <c r="B9" s="8" t="s">
        <v>21</v>
      </c>
      <c r="C9" s="8" t="s">
        <v>51</v>
      </c>
      <c r="D9" s="8" t="s">
        <v>14</v>
      </c>
      <c r="E9" s="8" t="s">
        <v>55</v>
      </c>
      <c r="F9" s="21" t="n">
        <v>3500</v>
      </c>
      <c r="G9" s="24" t="s">
        <v>53</v>
      </c>
      <c r="H9" s="8" t="s">
        <v>56</v>
      </c>
    </row>
    <row r="10" customFormat="false" ht="15" hidden="false" customHeight="true" outlineLevel="0" collapsed="false">
      <c r="A10" s="20" t="n">
        <v>6</v>
      </c>
      <c r="B10" s="8" t="s">
        <v>13</v>
      </c>
      <c r="C10" s="8" t="s">
        <v>57</v>
      </c>
      <c r="D10" s="8" t="s">
        <v>14</v>
      </c>
      <c r="E10" s="8" t="s">
        <v>58</v>
      </c>
      <c r="F10" s="21" t="n">
        <v>18800</v>
      </c>
      <c r="G10" s="23" t="s">
        <v>59</v>
      </c>
      <c r="H10" s="8" t="s">
        <v>60</v>
      </c>
    </row>
    <row r="11" customFormat="false" ht="41.25" hidden="false" customHeight="true" outlineLevel="0" collapsed="false">
      <c r="A11" s="20" t="n">
        <v>7</v>
      </c>
      <c r="B11" s="8" t="s">
        <v>23</v>
      </c>
      <c r="C11" s="8" t="s">
        <v>61</v>
      </c>
      <c r="D11" s="8" t="s">
        <v>62</v>
      </c>
      <c r="E11" s="8" t="s">
        <v>63</v>
      </c>
      <c r="F11" s="21" t="n">
        <v>1130</v>
      </c>
      <c r="G11" s="23" t="s">
        <v>64</v>
      </c>
      <c r="H11" s="8" t="s">
        <v>65</v>
      </c>
    </row>
    <row r="12" customFormat="false" ht="27.75" hidden="false" customHeight="true" outlineLevel="0" collapsed="false">
      <c r="A12" s="20" t="n">
        <v>8</v>
      </c>
      <c r="B12" s="8" t="s">
        <v>16</v>
      </c>
      <c r="C12" s="8" t="s">
        <v>66</v>
      </c>
      <c r="D12" s="8" t="s">
        <v>67</v>
      </c>
      <c r="E12" s="8" t="s">
        <v>68</v>
      </c>
      <c r="F12" s="21" t="n">
        <v>5000</v>
      </c>
      <c r="G12" s="23" t="s">
        <v>59</v>
      </c>
      <c r="H12" s="8" t="s">
        <v>69</v>
      </c>
    </row>
    <row r="13" customFormat="false" ht="27.75" hidden="false" customHeight="true" outlineLevel="0" collapsed="false">
      <c r="A13" s="20" t="n">
        <v>9</v>
      </c>
      <c r="B13" s="8" t="s">
        <v>23</v>
      </c>
      <c r="C13" s="8" t="s">
        <v>61</v>
      </c>
      <c r="D13" s="8" t="s">
        <v>62</v>
      </c>
      <c r="E13" s="25" t="s">
        <v>70</v>
      </c>
      <c r="F13" s="26" t="n">
        <f aca="false">SUM(F5:F12)</f>
        <v>66818.99</v>
      </c>
      <c r="G13" s="23" t="s">
        <v>64</v>
      </c>
      <c r="H13" s="8" t="s">
        <v>71</v>
      </c>
    </row>
    <row r="14" customFormat="false" ht="15" hidden="false" customHeight="true" outlineLevel="0" collapsed="false">
      <c r="A14" s="20" t="n">
        <v>10</v>
      </c>
      <c r="B14" s="8" t="s">
        <v>16</v>
      </c>
      <c r="C14" s="8" t="s">
        <v>72</v>
      </c>
      <c r="D14" s="8" t="s">
        <v>73</v>
      </c>
      <c r="E14" s="7" t="s">
        <v>74</v>
      </c>
      <c r="F14" s="27" t="n">
        <f aca="false">Summary!$C$13</f>
        <v>66818.99</v>
      </c>
      <c r="G14" s="23" t="s">
        <v>59</v>
      </c>
      <c r="H14" s="8" t="s">
        <v>75</v>
      </c>
    </row>
    <row r="15" customFormat="false" ht="15" hidden="false" customHeight="true" outlineLevel="0" collapsed="false">
      <c r="E15" s="3" t="s">
        <v>76</v>
      </c>
      <c r="F15" s="28" t="n">
        <f aca="false">F13-F14</f>
        <v>0</v>
      </c>
    </row>
    <row r="16" customFormat="false" ht="15" hidden="false" customHeight="true" outlineLevel="0" collapsed="false">
      <c r="A16" s="29"/>
      <c r="B16" s="29"/>
      <c r="C16" s="29"/>
      <c r="D16" s="29"/>
      <c r="E16" s="30" t="s">
        <v>74</v>
      </c>
      <c r="F16" s="31" t="n">
        <f aca="false">Summary!$C$13</f>
        <v>66818.99</v>
      </c>
      <c r="G16" s="29"/>
      <c r="H16" s="29"/>
    </row>
    <row r="17" customFormat="false" ht="15" hidden="false" customHeight="true" outlineLevel="0" collapsed="false">
      <c r="A17" s="29"/>
      <c r="B17" s="29"/>
      <c r="C17" s="29"/>
      <c r="D17" s="29"/>
      <c r="E17" s="30" t="s">
        <v>76</v>
      </c>
      <c r="F17" s="31" t="n">
        <f aca="false">F15-F16</f>
        <v>-66818.99</v>
      </c>
      <c r="G17" s="29"/>
      <c r="H17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  <col collapsed="false" customWidth="true" hidden="false" outlineLevel="0" max="3" min="3" style="1" width="52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20"/>
    <col collapsed="false" customWidth="true" hidden="false" outlineLevel="0" max="9" min="9" style="1" width="44"/>
  </cols>
  <sheetData>
    <row r="1" customFormat="false" ht="19.5" hidden="false" customHeight="true" outlineLevel="0" collapsed="false">
      <c r="A1" s="2" t="s">
        <v>77</v>
      </c>
    </row>
    <row r="2" customFormat="false" ht="15" hidden="false" customHeight="true" outlineLevel="0" collapsed="false">
      <c r="A2" s="5" t="s">
        <v>78</v>
      </c>
    </row>
    <row r="4" customFormat="false" ht="15" hidden="false" customHeight="true" outlineLevel="0" collapsed="false">
      <c r="A4" s="6" t="s">
        <v>3</v>
      </c>
      <c r="B4" s="6" t="s">
        <v>4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  <c r="H4" s="6" t="s">
        <v>84</v>
      </c>
      <c r="I4" s="6" t="s">
        <v>9</v>
      </c>
    </row>
    <row r="5" customFormat="false" ht="27.75" hidden="false" customHeight="true" outlineLevel="0" collapsed="false">
      <c r="A5" s="8" t="s">
        <v>19</v>
      </c>
      <c r="B5" s="8" t="s">
        <v>85</v>
      </c>
      <c r="C5" s="8" t="s">
        <v>86</v>
      </c>
      <c r="D5" s="32"/>
      <c r="E5" s="32"/>
      <c r="F5" s="21" t="n">
        <v>2880</v>
      </c>
      <c r="G5" s="32" t="s">
        <v>87</v>
      </c>
      <c r="H5" s="8" t="s">
        <v>88</v>
      </c>
      <c r="I5" s="11" t="s">
        <v>89</v>
      </c>
    </row>
    <row r="6" customFormat="false" ht="15" hidden="false" customHeight="true" outlineLevel="0" collapsed="false">
      <c r="A6" s="8" t="s">
        <v>19</v>
      </c>
      <c r="B6" s="8" t="s">
        <v>44</v>
      </c>
      <c r="C6" s="8" t="s">
        <v>90</v>
      </c>
      <c r="D6" s="32"/>
      <c r="E6" s="32"/>
      <c r="F6" s="21" t="n">
        <v>1500</v>
      </c>
      <c r="G6" s="32" t="s">
        <v>91</v>
      </c>
      <c r="H6" s="8" t="s">
        <v>92</v>
      </c>
      <c r="I6" s="11" t="s">
        <v>93</v>
      </c>
    </row>
    <row r="7" customFormat="false" ht="15" hidden="false" customHeight="true" outlineLevel="0" collapsed="false">
      <c r="A7" s="8" t="s">
        <v>23</v>
      </c>
      <c r="B7" s="8" t="s">
        <v>24</v>
      </c>
      <c r="C7" s="8" t="s">
        <v>94</v>
      </c>
      <c r="D7" s="32"/>
      <c r="E7" s="32"/>
      <c r="F7" s="21" t="n">
        <v>480</v>
      </c>
      <c r="G7" s="32" t="s">
        <v>91</v>
      </c>
      <c r="H7" s="8" t="s">
        <v>95</v>
      </c>
      <c r="I7" s="11"/>
    </row>
    <row r="8" customFormat="false" ht="15" hidden="false" customHeight="true" outlineLevel="0" collapsed="false">
      <c r="A8" s="8" t="s">
        <v>19</v>
      </c>
      <c r="B8" s="8" t="s">
        <v>85</v>
      </c>
      <c r="C8" s="8" t="s">
        <v>96</v>
      </c>
      <c r="D8" s="32"/>
      <c r="E8" s="32"/>
      <c r="F8" s="21" t="n">
        <v>80</v>
      </c>
      <c r="G8" s="32" t="s">
        <v>91</v>
      </c>
      <c r="H8" s="8" t="s">
        <v>88</v>
      </c>
      <c r="I8" s="11"/>
    </row>
    <row r="9" customFormat="false" ht="27.75" hidden="false" customHeight="true" outlineLevel="0" collapsed="false">
      <c r="A9" s="8" t="s">
        <v>21</v>
      </c>
      <c r="B9" s="8" t="s">
        <v>85</v>
      </c>
      <c r="C9" s="8" t="s">
        <v>97</v>
      </c>
      <c r="D9" s="32"/>
      <c r="E9" s="32"/>
      <c r="F9" s="21" t="n">
        <v>3420</v>
      </c>
      <c r="G9" s="32" t="s">
        <v>87</v>
      </c>
      <c r="H9" s="8" t="s">
        <v>88</v>
      </c>
      <c r="I9" s="12" t="s">
        <v>98</v>
      </c>
    </row>
    <row r="10" customFormat="false" ht="15" hidden="false" customHeight="true" outlineLevel="0" collapsed="false">
      <c r="A10" s="8" t="s">
        <v>21</v>
      </c>
      <c r="B10" s="8" t="s">
        <v>44</v>
      </c>
      <c r="C10" s="8" t="s">
        <v>99</v>
      </c>
      <c r="D10" s="32"/>
      <c r="E10" s="32"/>
      <c r="F10" s="21" t="n">
        <v>1700</v>
      </c>
      <c r="G10" s="32" t="s">
        <v>91</v>
      </c>
      <c r="H10" s="8" t="s">
        <v>92</v>
      </c>
      <c r="I10" s="11" t="s">
        <v>93</v>
      </c>
    </row>
    <row r="11" customFormat="false" ht="15" hidden="false" customHeight="true" outlineLevel="0" collapsed="false">
      <c r="A11" s="8" t="s">
        <v>23</v>
      </c>
      <c r="B11" s="8" t="s">
        <v>24</v>
      </c>
      <c r="C11" s="8" t="s">
        <v>100</v>
      </c>
      <c r="D11" s="32"/>
      <c r="E11" s="32"/>
      <c r="F11" s="21" t="n">
        <v>650</v>
      </c>
      <c r="G11" s="32" t="s">
        <v>91</v>
      </c>
      <c r="H11" s="8" t="s">
        <v>95</v>
      </c>
      <c r="I11" s="11"/>
    </row>
    <row r="12" customFormat="false" ht="15" hidden="false" customHeight="true" outlineLevel="0" collapsed="false">
      <c r="A12" s="8" t="s">
        <v>21</v>
      </c>
      <c r="B12" s="8" t="s">
        <v>85</v>
      </c>
      <c r="C12" s="8" t="s">
        <v>96</v>
      </c>
      <c r="D12" s="32"/>
      <c r="E12" s="32"/>
      <c r="F12" s="21" t="n">
        <v>80</v>
      </c>
      <c r="G12" s="32" t="s">
        <v>91</v>
      </c>
      <c r="H12" s="8" t="s">
        <v>88</v>
      </c>
      <c r="I12" s="11"/>
    </row>
    <row r="13" customFormat="false" ht="27.75" hidden="false" customHeight="true" outlineLevel="0" collapsed="false">
      <c r="A13" s="8" t="s">
        <v>13</v>
      </c>
      <c r="B13" s="8" t="s">
        <v>85</v>
      </c>
      <c r="C13" s="8" t="s">
        <v>101</v>
      </c>
      <c r="D13" s="32"/>
      <c r="E13" s="32"/>
      <c r="F13" s="21" t="n">
        <v>17600</v>
      </c>
      <c r="G13" s="32" t="s">
        <v>87</v>
      </c>
      <c r="H13" s="8" t="s">
        <v>88</v>
      </c>
      <c r="I13" s="12" t="s">
        <v>102</v>
      </c>
    </row>
    <row r="14" customFormat="false" ht="15" hidden="false" customHeight="true" outlineLevel="0" collapsed="false">
      <c r="A14" s="8" t="s">
        <v>13</v>
      </c>
      <c r="B14" s="8" t="s">
        <v>85</v>
      </c>
      <c r="C14" s="8" t="s">
        <v>103</v>
      </c>
      <c r="D14" s="32"/>
      <c r="E14" s="32"/>
      <c r="F14" s="21" t="n">
        <v>1200</v>
      </c>
      <c r="G14" s="32" t="s">
        <v>91</v>
      </c>
      <c r="H14" s="8" t="s">
        <v>88</v>
      </c>
      <c r="I14" s="11"/>
    </row>
    <row r="15" customFormat="false" ht="15" hidden="false" customHeight="true" outlineLevel="0" collapsed="false">
      <c r="A15" s="8" t="s">
        <v>10</v>
      </c>
      <c r="B15" s="8" t="s">
        <v>104</v>
      </c>
      <c r="C15" s="8" t="s">
        <v>105</v>
      </c>
      <c r="D15" s="32" t="n">
        <v>230</v>
      </c>
      <c r="E15" s="21" t="n">
        <v>66.49</v>
      </c>
      <c r="F15" s="21" t="n">
        <v>15292.7</v>
      </c>
      <c r="G15" s="32" t="s">
        <v>106</v>
      </c>
      <c r="H15" s="8" t="s">
        <v>107</v>
      </c>
      <c r="I15" s="11"/>
    </row>
    <row r="16" customFormat="false" ht="15" hidden="false" customHeight="true" outlineLevel="0" collapsed="false">
      <c r="A16" s="8" t="s">
        <v>10</v>
      </c>
      <c r="B16" s="8" t="s">
        <v>104</v>
      </c>
      <c r="C16" s="8" t="s">
        <v>108</v>
      </c>
      <c r="D16" s="32" t="n">
        <v>18</v>
      </c>
      <c r="E16" s="21" t="n">
        <v>58.09</v>
      </c>
      <c r="F16" s="21" t="n">
        <v>1045.62</v>
      </c>
      <c r="G16" s="32" t="s">
        <v>106</v>
      </c>
      <c r="H16" s="8" t="s">
        <v>107</v>
      </c>
      <c r="I16" s="11"/>
    </row>
    <row r="17" customFormat="false" ht="27.75" hidden="false" customHeight="true" outlineLevel="0" collapsed="false">
      <c r="A17" s="8" t="s">
        <v>10</v>
      </c>
      <c r="B17" s="8" t="s">
        <v>104</v>
      </c>
      <c r="C17" s="8" t="s">
        <v>109</v>
      </c>
      <c r="D17" s="32" t="n">
        <v>15</v>
      </c>
      <c r="E17" s="21" t="n">
        <v>72.25</v>
      </c>
      <c r="F17" s="21" t="n">
        <v>1083.75</v>
      </c>
      <c r="G17" s="32" t="s">
        <v>106</v>
      </c>
      <c r="H17" s="8" t="s">
        <v>107</v>
      </c>
      <c r="I17" s="11" t="s">
        <v>110</v>
      </c>
    </row>
    <row r="18" customFormat="false" ht="15" hidden="false" customHeight="true" outlineLevel="0" collapsed="false">
      <c r="A18" s="8" t="s">
        <v>10</v>
      </c>
      <c r="B18" s="8" t="s">
        <v>104</v>
      </c>
      <c r="C18" s="8" t="s">
        <v>111</v>
      </c>
      <c r="D18" s="32" t="n">
        <v>15</v>
      </c>
      <c r="E18" s="21" t="n">
        <v>59.89</v>
      </c>
      <c r="F18" s="21" t="n">
        <v>898.35</v>
      </c>
      <c r="G18" s="32" t="s">
        <v>106</v>
      </c>
      <c r="H18" s="8" t="s">
        <v>107</v>
      </c>
      <c r="I18" s="11"/>
    </row>
    <row r="19" customFormat="false" ht="15" hidden="false" customHeight="true" outlineLevel="0" collapsed="false">
      <c r="A19" s="8" t="s">
        <v>10</v>
      </c>
      <c r="B19" s="8" t="s">
        <v>104</v>
      </c>
      <c r="C19" s="8" t="s">
        <v>112</v>
      </c>
      <c r="D19" s="32" t="n">
        <v>24</v>
      </c>
      <c r="E19" s="21" t="n">
        <v>32.08</v>
      </c>
      <c r="F19" s="21" t="n">
        <v>770</v>
      </c>
      <c r="G19" s="32" t="s">
        <v>106</v>
      </c>
      <c r="H19" s="8" t="s">
        <v>107</v>
      </c>
      <c r="I19" s="11"/>
    </row>
    <row r="20" customFormat="false" ht="15" hidden="false" customHeight="true" outlineLevel="0" collapsed="false">
      <c r="A20" s="8" t="s">
        <v>10</v>
      </c>
      <c r="B20" s="8" t="s">
        <v>104</v>
      </c>
      <c r="C20" s="8" t="s">
        <v>113</v>
      </c>
      <c r="D20" s="32" t="n">
        <v>6</v>
      </c>
      <c r="E20" s="21" t="n">
        <v>10.25</v>
      </c>
      <c r="F20" s="21" t="n">
        <v>61.5</v>
      </c>
      <c r="G20" s="32" t="s">
        <v>106</v>
      </c>
      <c r="H20" s="8" t="s">
        <v>107</v>
      </c>
      <c r="I20" s="11"/>
    </row>
    <row r="21" customFormat="false" ht="27.75" hidden="false" customHeight="true" outlineLevel="0" collapsed="false">
      <c r="A21" s="8" t="s">
        <v>10</v>
      </c>
      <c r="B21" s="8" t="s">
        <v>104</v>
      </c>
      <c r="C21" s="8" t="s">
        <v>114</v>
      </c>
      <c r="D21" s="32" t="n">
        <v>266</v>
      </c>
      <c r="E21" s="21" t="n">
        <v>28.4</v>
      </c>
      <c r="F21" s="21" t="n">
        <v>7554.4</v>
      </c>
      <c r="G21" s="32" t="s">
        <v>106</v>
      </c>
      <c r="H21" s="8" t="s">
        <v>107</v>
      </c>
      <c r="I21" s="11" t="s">
        <v>115</v>
      </c>
    </row>
    <row r="22" customFormat="false" ht="15" hidden="false" customHeight="true" outlineLevel="0" collapsed="false">
      <c r="A22" s="8" t="s">
        <v>10</v>
      </c>
      <c r="B22" s="8" t="s">
        <v>104</v>
      </c>
      <c r="C22" s="8" t="s">
        <v>116</v>
      </c>
      <c r="D22" s="32" t="n">
        <v>16</v>
      </c>
      <c r="E22" s="21" t="n">
        <v>7.87</v>
      </c>
      <c r="F22" s="21" t="n">
        <v>125.92</v>
      </c>
      <c r="G22" s="32" t="s">
        <v>106</v>
      </c>
      <c r="H22" s="8" t="s">
        <v>107</v>
      </c>
      <c r="I22" s="11"/>
    </row>
    <row r="23" customFormat="false" ht="15" hidden="false" customHeight="true" outlineLevel="0" collapsed="false">
      <c r="A23" s="8" t="s">
        <v>10</v>
      </c>
      <c r="B23" s="8" t="s">
        <v>104</v>
      </c>
      <c r="C23" s="8" t="s">
        <v>117</v>
      </c>
      <c r="D23" s="32" t="n">
        <v>1</v>
      </c>
      <c r="E23" s="21" t="n">
        <v>15</v>
      </c>
      <c r="F23" s="21" t="n">
        <v>15</v>
      </c>
      <c r="G23" s="32" t="s">
        <v>106</v>
      </c>
      <c r="H23" s="8" t="s">
        <v>107</v>
      </c>
      <c r="I23" s="11"/>
    </row>
    <row r="24" customFormat="false" ht="15" hidden="false" customHeight="true" outlineLevel="0" collapsed="false">
      <c r="A24" s="8" t="s">
        <v>10</v>
      </c>
      <c r="B24" s="8" t="s">
        <v>104</v>
      </c>
      <c r="C24" s="8" t="s">
        <v>118</v>
      </c>
      <c r="D24" s="32" t="n">
        <v>1</v>
      </c>
      <c r="E24" s="21" t="n">
        <v>10.25</v>
      </c>
      <c r="F24" s="21" t="n">
        <v>10.25</v>
      </c>
      <c r="G24" s="32" t="s">
        <v>106</v>
      </c>
      <c r="H24" s="8" t="s">
        <v>107</v>
      </c>
      <c r="I24" s="11"/>
    </row>
    <row r="25" customFormat="false" ht="15" hidden="false" customHeight="true" outlineLevel="0" collapsed="false">
      <c r="A25" s="8" t="s">
        <v>10</v>
      </c>
      <c r="B25" s="8" t="s">
        <v>104</v>
      </c>
      <c r="C25" s="8" t="s">
        <v>119</v>
      </c>
      <c r="D25" s="32"/>
      <c r="E25" s="32"/>
      <c r="F25" s="21" t="n">
        <v>5371.5</v>
      </c>
      <c r="G25" s="32" t="s">
        <v>83</v>
      </c>
      <c r="H25" s="8" t="s">
        <v>107</v>
      </c>
      <c r="I25" s="11" t="s">
        <v>120</v>
      </c>
    </row>
    <row r="26" customFormat="false" ht="27.75" hidden="false" customHeight="true" outlineLevel="0" collapsed="false">
      <c r="A26" s="8" t="s">
        <v>16</v>
      </c>
      <c r="B26" s="8" t="s">
        <v>121</v>
      </c>
      <c r="C26" s="8" t="s">
        <v>122</v>
      </c>
      <c r="D26" s="32"/>
      <c r="E26" s="32"/>
      <c r="F26" s="21" t="n">
        <v>5000</v>
      </c>
      <c r="G26" s="32" t="s">
        <v>17</v>
      </c>
      <c r="H26" s="8" t="s">
        <v>123</v>
      </c>
      <c r="I26" s="11" t="s">
        <v>124</v>
      </c>
    </row>
    <row r="27" customFormat="false" ht="15" hidden="false" customHeight="true" outlineLevel="0" collapsed="false">
      <c r="C27" s="33" t="s">
        <v>125</v>
      </c>
      <c r="F27" s="34" t="n">
        <f aca="false">SUM(F5:F26)</f>
        <v>66818.99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4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30"/>
  </cols>
  <sheetData>
    <row r="1" customFormat="false" ht="19.5" hidden="false" customHeight="true" outlineLevel="0" collapsed="false">
      <c r="A1" s="2" t="s">
        <v>126</v>
      </c>
    </row>
    <row r="2" customFormat="false" ht="15" hidden="false" customHeight="true" outlineLevel="0" collapsed="false">
      <c r="A2" s="5" t="s">
        <v>127</v>
      </c>
    </row>
    <row r="4" customFormat="false" ht="15" hidden="false" customHeight="true" outlineLevel="0" collapsed="false">
      <c r="A4" s="6" t="s">
        <v>128</v>
      </c>
      <c r="B4" s="6" t="s">
        <v>3</v>
      </c>
      <c r="C4" s="6" t="s">
        <v>4</v>
      </c>
      <c r="D4" s="6" t="s">
        <v>129</v>
      </c>
      <c r="E4" s="6" t="s">
        <v>130</v>
      </c>
      <c r="F4" s="6" t="s">
        <v>131</v>
      </c>
      <c r="G4" s="6" t="s">
        <v>132</v>
      </c>
      <c r="H4" s="6" t="s">
        <v>133</v>
      </c>
      <c r="I4" s="6" t="s">
        <v>9</v>
      </c>
    </row>
    <row r="5" customFormat="false" ht="27.75" hidden="false" customHeight="true" outlineLevel="0" collapsed="false">
      <c r="A5" s="35" t="n">
        <v>46212</v>
      </c>
      <c r="B5" s="8" t="s">
        <v>10</v>
      </c>
      <c r="C5" s="8" t="s">
        <v>11</v>
      </c>
      <c r="D5" s="8" t="s">
        <v>134</v>
      </c>
      <c r="E5" s="8" t="s">
        <v>135</v>
      </c>
      <c r="F5" s="21" t="n">
        <v>32228.99</v>
      </c>
      <c r="G5" s="35" t="n">
        <v>46212</v>
      </c>
      <c r="H5" s="20" t="s">
        <v>136</v>
      </c>
      <c r="I5" s="8" t="s">
        <v>137</v>
      </c>
    </row>
    <row r="6" customFormat="false" ht="15" hidden="false" customHeight="true" outlineLevel="0" collapsed="false">
      <c r="A6" s="35" t="n">
        <v>46223</v>
      </c>
      <c r="B6" s="8" t="s">
        <v>23</v>
      </c>
      <c r="C6" s="8" t="s">
        <v>138</v>
      </c>
      <c r="D6" s="8" t="s">
        <v>139</v>
      </c>
      <c r="E6" s="8" t="s">
        <v>140</v>
      </c>
      <c r="F6" s="21" t="n">
        <v>311.98</v>
      </c>
      <c r="G6" s="35" t="n">
        <v>46223</v>
      </c>
      <c r="H6" s="20" t="s">
        <v>141</v>
      </c>
      <c r="I6" s="8" t="s">
        <v>142</v>
      </c>
    </row>
    <row r="7" customFormat="false" ht="15" hidden="false" customHeight="true" outlineLevel="0" collapsed="false">
      <c r="A7" s="35" t="n">
        <v>46223</v>
      </c>
      <c r="B7" s="8" t="s">
        <v>19</v>
      </c>
      <c r="C7" s="8" t="s">
        <v>138</v>
      </c>
      <c r="D7" s="8" t="s">
        <v>139</v>
      </c>
      <c r="E7" s="8" t="s">
        <v>143</v>
      </c>
      <c r="F7" s="21" t="n">
        <v>111.71</v>
      </c>
      <c r="G7" s="35" t="n">
        <v>46223</v>
      </c>
      <c r="H7" s="20" t="s">
        <v>141</v>
      </c>
      <c r="I7" s="8" t="s">
        <v>144</v>
      </c>
    </row>
    <row r="8" customFormat="false" ht="15" hidden="false" customHeight="true" outlineLevel="0" collapsed="false">
      <c r="A8" s="35" t="n">
        <v>46223</v>
      </c>
      <c r="B8" s="8" t="s">
        <v>19</v>
      </c>
      <c r="C8" s="8" t="s">
        <v>145</v>
      </c>
      <c r="D8" s="8" t="s">
        <v>146</v>
      </c>
      <c r="E8" s="8" t="s">
        <v>147</v>
      </c>
      <c r="F8" s="21" t="n">
        <v>937.5</v>
      </c>
      <c r="G8" s="35" t="n">
        <v>46223</v>
      </c>
      <c r="H8" s="20" t="s">
        <v>146</v>
      </c>
      <c r="I8" s="8" t="s">
        <v>148</v>
      </c>
    </row>
    <row r="9" customFormat="false" ht="15" hidden="false" customHeight="true" outlineLevel="0" collapsed="false">
      <c r="A9" s="35" t="n">
        <v>46223</v>
      </c>
      <c r="B9" s="8" t="s">
        <v>21</v>
      </c>
      <c r="C9" s="8" t="s">
        <v>145</v>
      </c>
      <c r="D9" s="8" t="s">
        <v>146</v>
      </c>
      <c r="E9" s="8" t="s">
        <v>149</v>
      </c>
      <c r="F9" s="21" t="n">
        <v>1062.5</v>
      </c>
      <c r="G9" s="35" t="n">
        <v>46223</v>
      </c>
      <c r="H9" s="20" t="s">
        <v>146</v>
      </c>
      <c r="I9" s="8" t="s">
        <v>150</v>
      </c>
    </row>
    <row r="10" customFormat="false" ht="15" hidden="false" customHeight="true" outlineLevel="0" collapsed="false">
      <c r="A10" s="36"/>
      <c r="B10" s="37"/>
      <c r="C10" s="37"/>
      <c r="D10" s="37"/>
      <c r="E10" s="37"/>
      <c r="F10" s="38"/>
      <c r="G10" s="36"/>
      <c r="H10" s="37"/>
      <c r="I10" s="37"/>
    </row>
    <row r="11" customFormat="false" ht="15" hidden="false" customHeight="true" outlineLevel="0" collapsed="false">
      <c r="A11" s="36"/>
      <c r="B11" s="37"/>
      <c r="C11" s="37"/>
      <c r="D11" s="37"/>
      <c r="E11" s="37"/>
      <c r="F11" s="38"/>
      <c r="G11" s="36"/>
      <c r="H11" s="37"/>
      <c r="I11" s="37"/>
    </row>
    <row r="12" customFormat="false" ht="15" hidden="false" customHeight="true" outlineLevel="0" collapsed="false">
      <c r="A12" s="36"/>
      <c r="B12" s="37"/>
      <c r="C12" s="37"/>
      <c r="D12" s="37"/>
      <c r="E12" s="37"/>
      <c r="F12" s="38"/>
      <c r="G12" s="36"/>
      <c r="H12" s="37"/>
      <c r="I12" s="37"/>
    </row>
    <row r="13" customFormat="false" ht="15" hidden="false" customHeight="true" outlineLevel="0" collapsed="false">
      <c r="A13" s="36"/>
      <c r="B13" s="37"/>
      <c r="C13" s="37"/>
      <c r="D13" s="37"/>
      <c r="E13" s="37"/>
      <c r="F13" s="38"/>
      <c r="G13" s="36"/>
      <c r="H13" s="37"/>
      <c r="I13" s="37"/>
    </row>
    <row r="14" customFormat="false" ht="15" hidden="false" customHeight="true" outlineLevel="0" collapsed="false">
      <c r="A14" s="36"/>
      <c r="B14" s="37"/>
      <c r="C14" s="37"/>
      <c r="D14" s="37"/>
      <c r="E14" s="37"/>
      <c r="F14" s="38"/>
      <c r="G14" s="36"/>
      <c r="H14" s="37"/>
      <c r="I14" s="37"/>
    </row>
    <row r="15" customFormat="false" ht="15" hidden="false" customHeight="true" outlineLevel="0" collapsed="false">
      <c r="A15" s="36"/>
      <c r="B15" s="37"/>
      <c r="C15" s="37"/>
      <c r="D15" s="37"/>
      <c r="E15" s="37"/>
      <c r="F15" s="38"/>
      <c r="G15" s="36"/>
      <c r="H15" s="37"/>
      <c r="I15" s="37"/>
    </row>
    <row r="16" customFormat="false" ht="15" hidden="false" customHeight="true" outlineLevel="0" collapsed="false">
      <c r="A16" s="36"/>
      <c r="B16" s="37"/>
      <c r="C16" s="37"/>
      <c r="D16" s="37"/>
      <c r="E16" s="37"/>
      <c r="F16" s="38"/>
      <c r="G16" s="36"/>
      <c r="H16" s="37"/>
      <c r="I16" s="37"/>
    </row>
    <row r="17" customFormat="false" ht="15" hidden="false" customHeight="true" outlineLevel="0" collapsed="false">
      <c r="A17" s="36"/>
      <c r="B17" s="37"/>
      <c r="C17" s="37"/>
      <c r="D17" s="37"/>
      <c r="E17" s="37"/>
      <c r="F17" s="38"/>
      <c r="G17" s="36"/>
      <c r="H17" s="37"/>
      <c r="I17" s="37"/>
    </row>
    <row r="18" customFormat="false" ht="15" hidden="false" customHeight="true" outlineLevel="0" collapsed="false">
      <c r="A18" s="36"/>
      <c r="B18" s="37"/>
      <c r="C18" s="37"/>
      <c r="D18" s="37"/>
      <c r="E18" s="37"/>
      <c r="F18" s="38"/>
      <c r="G18" s="36"/>
      <c r="H18" s="37"/>
      <c r="I18" s="37"/>
    </row>
    <row r="19" customFormat="false" ht="15" hidden="false" customHeight="true" outlineLevel="0" collapsed="false">
      <c r="A19" s="36"/>
      <c r="B19" s="37"/>
      <c r="C19" s="37"/>
      <c r="D19" s="37"/>
      <c r="E19" s="37"/>
      <c r="F19" s="38"/>
      <c r="G19" s="36"/>
      <c r="H19" s="37"/>
      <c r="I19" s="37"/>
    </row>
    <row r="20" customFormat="false" ht="15" hidden="false" customHeight="true" outlineLevel="0" collapsed="false">
      <c r="A20" s="36"/>
      <c r="B20" s="37"/>
      <c r="C20" s="37"/>
      <c r="D20" s="37"/>
      <c r="E20" s="37"/>
      <c r="F20" s="38"/>
      <c r="G20" s="36"/>
      <c r="H20" s="37"/>
      <c r="I20" s="37"/>
    </row>
    <row r="21" customFormat="false" ht="15" hidden="false" customHeight="true" outlineLevel="0" collapsed="false">
      <c r="A21" s="36"/>
      <c r="B21" s="37"/>
      <c r="C21" s="37"/>
      <c r="D21" s="37"/>
      <c r="E21" s="37"/>
      <c r="F21" s="38"/>
      <c r="G21" s="36"/>
      <c r="H21" s="37"/>
      <c r="I21" s="37"/>
    </row>
    <row r="22" customFormat="false" ht="15" hidden="false" customHeight="true" outlineLevel="0" collapsed="false">
      <c r="A22" s="36"/>
      <c r="B22" s="37"/>
      <c r="C22" s="37"/>
      <c r="D22" s="37"/>
      <c r="E22" s="37"/>
      <c r="F22" s="38"/>
      <c r="G22" s="36"/>
      <c r="H22" s="37"/>
      <c r="I22" s="37"/>
    </row>
    <row r="23" customFormat="false" ht="15" hidden="false" customHeight="true" outlineLevel="0" collapsed="false">
      <c r="A23" s="36"/>
      <c r="B23" s="37"/>
      <c r="C23" s="37"/>
      <c r="D23" s="37"/>
      <c r="E23" s="37"/>
      <c r="F23" s="38"/>
      <c r="G23" s="36"/>
      <c r="H23" s="37"/>
      <c r="I23" s="37"/>
    </row>
    <row r="24" customFormat="false" ht="15" hidden="false" customHeight="true" outlineLevel="0" collapsed="false">
      <c r="A24" s="36"/>
      <c r="B24" s="37"/>
      <c r="C24" s="37"/>
      <c r="D24" s="37"/>
      <c r="E24" s="37"/>
      <c r="F24" s="38"/>
      <c r="G24" s="36"/>
      <c r="H24" s="37"/>
      <c r="I24" s="37"/>
    </row>
    <row r="25" customFormat="false" ht="15" hidden="false" customHeight="true" outlineLevel="0" collapsed="false">
      <c r="A25" s="36"/>
      <c r="B25" s="37"/>
      <c r="C25" s="37"/>
      <c r="D25" s="37"/>
      <c r="E25" s="37"/>
      <c r="F25" s="38"/>
      <c r="G25" s="36"/>
      <c r="H25" s="37"/>
      <c r="I25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46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2" t="s">
        <v>151</v>
      </c>
    </row>
    <row r="2" customFormat="false" ht="15" hidden="false" customHeight="true" outlineLevel="0" collapsed="false">
      <c r="A2" s="5" t="s">
        <v>152</v>
      </c>
    </row>
    <row r="4" customFormat="false" ht="15.75" hidden="false" customHeight="true" outlineLevel="0" collapsed="false">
      <c r="A4" s="3" t="s">
        <v>153</v>
      </c>
      <c r="B4" s="39" t="n">
        <v>1130</v>
      </c>
      <c r="C4" s="3" t="s">
        <v>154</v>
      </c>
      <c r="D4" s="40" t="n">
        <f aca="false">B4-SUM(E8:E40)</f>
        <v>818.02</v>
      </c>
    </row>
    <row r="7" customFormat="false" ht="15" hidden="false" customHeight="true" outlineLevel="0" collapsed="false">
      <c r="A7" s="6" t="s">
        <v>155</v>
      </c>
      <c r="B7" s="6" t="s">
        <v>156</v>
      </c>
      <c r="C7" s="6" t="s">
        <v>157</v>
      </c>
      <c r="D7" s="6" t="s">
        <v>158</v>
      </c>
      <c r="E7" s="6" t="s">
        <v>159</v>
      </c>
      <c r="F7" s="6" t="s">
        <v>160</v>
      </c>
    </row>
    <row r="8" customFormat="false" ht="41.25" hidden="false" customHeight="true" outlineLevel="0" collapsed="false">
      <c r="A8" s="35" t="n">
        <v>46223</v>
      </c>
      <c r="B8" s="8" t="s">
        <v>138</v>
      </c>
      <c r="C8" s="8" t="s">
        <v>161</v>
      </c>
      <c r="D8" s="20" t="s">
        <v>162</v>
      </c>
      <c r="E8" s="21" t="n">
        <v>311.98</v>
      </c>
      <c r="F8" s="10" t="n">
        <f aca="false">IF(E8="","",$B$4-SUM($E$8:E8))</f>
        <v>818.02</v>
      </c>
    </row>
    <row r="9" customFormat="false" ht="15" hidden="false" customHeight="true" outlineLevel="0" collapsed="false">
      <c r="A9" s="36"/>
      <c r="B9" s="37"/>
      <c r="C9" s="37"/>
      <c r="D9" s="37"/>
      <c r="E9" s="38"/>
      <c r="F9" s="10" t="str">
        <f aca="false">IF(E9="","",$B$4-SUM($E$8:E9))</f>
        <v/>
      </c>
    </row>
    <row r="10" customFormat="false" ht="15" hidden="false" customHeight="true" outlineLevel="0" collapsed="false">
      <c r="A10" s="36"/>
      <c r="B10" s="37"/>
      <c r="C10" s="37"/>
      <c r="D10" s="37"/>
      <c r="E10" s="38"/>
      <c r="F10" s="10" t="str">
        <f aca="false">IF(E10="","",$B$4-SUM($E$8:E10))</f>
        <v/>
      </c>
    </row>
    <row r="11" customFormat="false" ht="15" hidden="false" customHeight="true" outlineLevel="0" collapsed="false">
      <c r="A11" s="36"/>
      <c r="B11" s="37"/>
      <c r="C11" s="37"/>
      <c r="D11" s="37"/>
      <c r="E11" s="38"/>
      <c r="F11" s="10" t="str">
        <f aca="false">IF(E11="","",$B$4-SUM($E$8:E11))</f>
        <v/>
      </c>
    </row>
    <row r="12" customFormat="false" ht="15" hidden="false" customHeight="true" outlineLevel="0" collapsed="false">
      <c r="A12" s="36"/>
      <c r="B12" s="37"/>
      <c r="C12" s="37"/>
      <c r="D12" s="37"/>
      <c r="E12" s="38"/>
      <c r="F12" s="10" t="str">
        <f aca="false">IF(E12="","",$B$4-SUM($E$8:E12))</f>
        <v/>
      </c>
    </row>
    <row r="13" customFormat="false" ht="15" hidden="false" customHeight="true" outlineLevel="0" collapsed="false">
      <c r="A13" s="36"/>
      <c r="B13" s="37"/>
      <c r="C13" s="37"/>
      <c r="D13" s="37"/>
      <c r="E13" s="38"/>
      <c r="F13" s="10" t="str">
        <f aca="false">IF(E13="","",$B$4-SUM($E$8:E13))</f>
        <v/>
      </c>
    </row>
    <row r="14" customFormat="false" ht="15" hidden="false" customHeight="true" outlineLevel="0" collapsed="false">
      <c r="A14" s="36"/>
      <c r="B14" s="37"/>
      <c r="C14" s="37"/>
      <c r="D14" s="37"/>
      <c r="E14" s="38"/>
      <c r="F14" s="10" t="str">
        <f aca="false">IF(E14="","",$B$4-SUM($E$8:E14))</f>
        <v/>
      </c>
    </row>
    <row r="15" customFormat="false" ht="15" hidden="false" customHeight="true" outlineLevel="0" collapsed="false">
      <c r="A15" s="36"/>
      <c r="B15" s="37"/>
      <c r="C15" s="37"/>
      <c r="D15" s="37"/>
      <c r="E15" s="38"/>
      <c r="F15" s="10" t="str">
        <f aca="false">IF(E15="","",$B$4-SUM($E$8:E15))</f>
        <v/>
      </c>
    </row>
    <row r="16" customFormat="false" ht="15" hidden="false" customHeight="true" outlineLevel="0" collapsed="false">
      <c r="A16" s="36"/>
      <c r="B16" s="37"/>
      <c r="C16" s="37"/>
      <c r="D16" s="37"/>
      <c r="E16" s="38"/>
      <c r="F16" s="10" t="str">
        <f aca="false">IF(E16="","",$B$4-SUM($E$8:E16))</f>
        <v/>
      </c>
    </row>
    <row r="17" customFormat="false" ht="15" hidden="false" customHeight="true" outlineLevel="0" collapsed="false">
      <c r="A17" s="36"/>
      <c r="B17" s="37"/>
      <c r="C17" s="37"/>
      <c r="D17" s="37"/>
      <c r="E17" s="38"/>
      <c r="F17" s="10" t="str">
        <f aca="false">IF(E17="","",$B$4-SUM($E$8:E17))</f>
        <v/>
      </c>
    </row>
    <row r="18" customFormat="false" ht="15" hidden="false" customHeight="true" outlineLevel="0" collapsed="false">
      <c r="A18" s="36"/>
      <c r="B18" s="37"/>
      <c r="C18" s="37"/>
      <c r="D18" s="37"/>
      <c r="E18" s="38"/>
      <c r="F18" s="10" t="str">
        <f aca="false">IF(E18="","",$B$4-SUM($E$8:E18))</f>
        <v/>
      </c>
    </row>
    <row r="19" customFormat="false" ht="15" hidden="false" customHeight="true" outlineLevel="0" collapsed="false">
      <c r="A19" s="36"/>
      <c r="B19" s="37"/>
      <c r="C19" s="37"/>
      <c r="D19" s="37"/>
      <c r="E19" s="38"/>
      <c r="F19" s="10" t="str">
        <f aca="false">IF(E19="","",$B$4-SUM($E$8:E19))</f>
        <v/>
      </c>
    </row>
    <row r="20" customFormat="false" ht="15" hidden="false" customHeight="true" outlineLevel="0" collapsed="false">
      <c r="A20" s="36"/>
      <c r="B20" s="37"/>
      <c r="C20" s="37"/>
      <c r="D20" s="37"/>
      <c r="E20" s="38"/>
      <c r="F20" s="10" t="str">
        <f aca="false">IF(E20="","",$B$4-SUM($E$8:E20))</f>
        <v/>
      </c>
    </row>
    <row r="21" customFormat="false" ht="15" hidden="false" customHeight="true" outlineLevel="0" collapsed="false">
      <c r="A21" s="36"/>
      <c r="B21" s="37"/>
      <c r="C21" s="37"/>
      <c r="D21" s="37"/>
      <c r="E21" s="38"/>
      <c r="F21" s="10" t="str">
        <f aca="false">IF(E21="","",$B$4-SUM($E$8:E21))</f>
        <v/>
      </c>
    </row>
    <row r="22" customFormat="false" ht="15" hidden="false" customHeight="true" outlineLevel="0" collapsed="false">
      <c r="A22" s="36"/>
      <c r="B22" s="37"/>
      <c r="C22" s="37"/>
      <c r="D22" s="37"/>
      <c r="E22" s="38"/>
      <c r="F22" s="10" t="str">
        <f aca="false">IF(E22="","",$B$4-SUM($E$8:E22))</f>
        <v/>
      </c>
    </row>
    <row r="23" customFormat="false" ht="15" hidden="false" customHeight="true" outlineLevel="0" collapsed="false">
      <c r="A23" s="36"/>
      <c r="B23" s="37"/>
      <c r="C23" s="37"/>
      <c r="D23" s="37"/>
      <c r="E23" s="38"/>
      <c r="F23" s="10" t="str">
        <f aca="false">IF(E23="","",$B$4-SUM($E$8:E23))</f>
        <v/>
      </c>
    </row>
    <row r="24" customFormat="false" ht="15" hidden="false" customHeight="true" outlineLevel="0" collapsed="false">
      <c r="A24" s="36"/>
      <c r="B24" s="37"/>
      <c r="C24" s="37"/>
      <c r="D24" s="37"/>
      <c r="E24" s="38"/>
      <c r="F24" s="10" t="str">
        <f aca="false">IF(E24="","",$B$4-SUM($E$8:E24))</f>
        <v/>
      </c>
    </row>
    <row r="25" customFormat="false" ht="15" hidden="false" customHeight="true" outlineLevel="0" collapsed="false">
      <c r="A25" s="36"/>
      <c r="B25" s="37"/>
      <c r="C25" s="37"/>
      <c r="D25" s="37"/>
      <c r="E25" s="38"/>
      <c r="F25" s="10" t="str">
        <f aca="false">IF(E25="","",$B$4-SUM($E$8:E25))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34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19.5" hidden="false" customHeight="true" outlineLevel="0" collapsed="false">
      <c r="A1" s="2" t="s">
        <v>163</v>
      </c>
    </row>
    <row r="2" customFormat="false" ht="15" hidden="false" customHeight="true" outlineLevel="0" collapsed="false">
      <c r="A2" s="5" t="s">
        <v>164</v>
      </c>
    </row>
    <row r="4" customFormat="false" ht="15.75" hidden="false" customHeight="true" outlineLevel="0" collapsed="false">
      <c r="A4" s="3" t="s">
        <v>165</v>
      </c>
      <c r="B4" s="39" t="n">
        <v>5000</v>
      </c>
      <c r="C4" s="3" t="s">
        <v>154</v>
      </c>
      <c r="D4" s="40" t="n">
        <f aca="false">B4-SUM(D8:D40)</f>
        <v>5000</v>
      </c>
    </row>
    <row r="7" customFormat="false" ht="15" hidden="false" customHeight="true" outlineLevel="0" collapsed="false">
      <c r="A7" s="6" t="s">
        <v>155</v>
      </c>
      <c r="B7" s="6" t="s">
        <v>166</v>
      </c>
      <c r="C7" s="6" t="s">
        <v>167</v>
      </c>
      <c r="D7" s="6" t="s">
        <v>159</v>
      </c>
      <c r="E7" s="6" t="s">
        <v>160</v>
      </c>
    </row>
    <row r="8" customFormat="false" ht="15" hidden="false" customHeight="true" outlineLevel="0" collapsed="false">
      <c r="A8" s="36"/>
      <c r="B8" s="37"/>
      <c r="C8" s="37"/>
      <c r="D8" s="38"/>
      <c r="E8" s="10" t="str">
        <f aca="false">IF(D8="","",$B$4-SUM($D$8:D8))</f>
        <v/>
      </c>
    </row>
    <row r="9" customFormat="false" ht="15" hidden="false" customHeight="true" outlineLevel="0" collapsed="false">
      <c r="A9" s="36"/>
      <c r="B9" s="37"/>
      <c r="C9" s="37"/>
      <c r="D9" s="38"/>
      <c r="E9" s="10" t="str">
        <f aca="false">IF(D9="","",$B$4-SUM($D$8:D9))</f>
        <v/>
      </c>
    </row>
    <row r="10" customFormat="false" ht="15" hidden="false" customHeight="true" outlineLevel="0" collapsed="false">
      <c r="A10" s="36"/>
      <c r="B10" s="37"/>
      <c r="C10" s="37"/>
      <c r="D10" s="38"/>
      <c r="E10" s="10" t="str">
        <f aca="false">IF(D10="","",$B$4-SUM($D$8:D10))</f>
        <v/>
      </c>
    </row>
    <row r="11" customFormat="false" ht="15" hidden="false" customHeight="true" outlineLevel="0" collapsed="false">
      <c r="A11" s="36"/>
      <c r="B11" s="37"/>
      <c r="C11" s="37"/>
      <c r="D11" s="38"/>
      <c r="E11" s="10" t="str">
        <f aca="false">IF(D11="","",$B$4-SUM($D$8:D11))</f>
        <v/>
      </c>
    </row>
    <row r="12" customFormat="false" ht="15" hidden="false" customHeight="true" outlineLevel="0" collapsed="false">
      <c r="A12" s="36"/>
      <c r="B12" s="37"/>
      <c r="C12" s="37"/>
      <c r="D12" s="38"/>
      <c r="E12" s="10" t="str">
        <f aca="false">IF(D12="","",$B$4-SUM($D$8:D12))</f>
        <v/>
      </c>
    </row>
    <row r="13" customFormat="false" ht="15" hidden="false" customHeight="true" outlineLevel="0" collapsed="false">
      <c r="A13" s="36"/>
      <c r="B13" s="37"/>
      <c r="C13" s="37"/>
      <c r="D13" s="38"/>
      <c r="E13" s="10" t="str">
        <f aca="false">IF(D13="","",$B$4-SUM($D$8:D13))</f>
        <v/>
      </c>
    </row>
    <row r="14" customFormat="false" ht="15" hidden="false" customHeight="true" outlineLevel="0" collapsed="false">
      <c r="A14" s="36"/>
      <c r="B14" s="37"/>
      <c r="C14" s="37"/>
      <c r="D14" s="38"/>
      <c r="E14" s="10" t="str">
        <f aca="false">IF(D14="","",$B$4-SUM($D$8:D14))</f>
        <v/>
      </c>
    </row>
    <row r="15" customFormat="false" ht="15" hidden="false" customHeight="true" outlineLevel="0" collapsed="false">
      <c r="A15" s="36"/>
      <c r="B15" s="37"/>
      <c r="C15" s="37"/>
      <c r="D15" s="38"/>
      <c r="E15" s="10" t="str">
        <f aca="false">IF(D15="","",$B$4-SUM($D$8:D15))</f>
        <v/>
      </c>
    </row>
    <row r="16" customFormat="false" ht="15" hidden="false" customHeight="true" outlineLevel="0" collapsed="false">
      <c r="A16" s="36"/>
      <c r="B16" s="37"/>
      <c r="C16" s="37"/>
      <c r="D16" s="38"/>
      <c r="E16" s="10" t="str">
        <f aca="false">IF(D16="","",$B$4-SUM($D$8:D16))</f>
        <v/>
      </c>
    </row>
    <row r="17" customFormat="false" ht="15" hidden="false" customHeight="true" outlineLevel="0" collapsed="false">
      <c r="A17" s="36"/>
      <c r="B17" s="37"/>
      <c r="C17" s="37"/>
      <c r="D17" s="38"/>
      <c r="E17" s="10" t="str">
        <f aca="false">IF(D17="","",$B$4-SUM($D$8:D17))</f>
        <v/>
      </c>
    </row>
    <row r="18" customFormat="false" ht="15" hidden="false" customHeight="true" outlineLevel="0" collapsed="false">
      <c r="A18" s="36"/>
      <c r="B18" s="37"/>
      <c r="C18" s="37"/>
      <c r="D18" s="38"/>
      <c r="E18" s="10" t="str">
        <f aca="false">IF(D18="","",$B$4-SUM($D$8:D18))</f>
        <v/>
      </c>
    </row>
    <row r="19" customFormat="false" ht="15" hidden="false" customHeight="true" outlineLevel="0" collapsed="false">
      <c r="A19" s="36"/>
      <c r="B19" s="37"/>
      <c r="C19" s="37"/>
      <c r="D19" s="38"/>
      <c r="E19" s="10" t="str">
        <f aca="false">IF(D19="","",$B$4-SUM($D$8:D19))</f>
        <v/>
      </c>
    </row>
    <row r="20" customFormat="false" ht="15" hidden="false" customHeight="true" outlineLevel="0" collapsed="false">
      <c r="A20" s="36"/>
      <c r="B20" s="37"/>
      <c r="C20" s="37"/>
      <c r="D20" s="38"/>
      <c r="E20" s="10" t="str">
        <f aca="false">IF(D20="","",$B$4-SUM($D$8:D20))</f>
        <v/>
      </c>
    </row>
    <row r="21" customFormat="false" ht="15" hidden="false" customHeight="true" outlineLevel="0" collapsed="false">
      <c r="A21" s="36"/>
      <c r="B21" s="37"/>
      <c r="C21" s="37"/>
      <c r="D21" s="38"/>
      <c r="E21" s="10" t="str">
        <f aca="false">IF(D21="","",$B$4-SUM($D$8:D21))</f>
        <v/>
      </c>
    </row>
    <row r="22" customFormat="false" ht="15" hidden="false" customHeight="true" outlineLevel="0" collapsed="false">
      <c r="A22" s="36"/>
      <c r="B22" s="37"/>
      <c r="C22" s="37"/>
      <c r="D22" s="38"/>
      <c r="E22" s="10" t="str">
        <f aca="false">IF(D22="","",$B$4-SUM($D$8:D22))</f>
        <v/>
      </c>
    </row>
    <row r="23" customFormat="false" ht="15" hidden="false" customHeight="true" outlineLevel="0" collapsed="false">
      <c r="A23" s="36"/>
      <c r="B23" s="37"/>
      <c r="C23" s="37"/>
      <c r="D23" s="38"/>
      <c r="E23" s="10" t="str">
        <f aca="false">IF(D23="","",$B$4-SUM($D$8:D23))</f>
        <v/>
      </c>
    </row>
    <row r="24" customFormat="false" ht="15" hidden="false" customHeight="true" outlineLevel="0" collapsed="false">
      <c r="A24" s="36"/>
      <c r="B24" s="37"/>
      <c r="C24" s="37"/>
      <c r="D24" s="38"/>
      <c r="E24" s="10" t="str">
        <f aca="false">IF(D24="","",$B$4-SUM($D$8:D24))</f>
        <v/>
      </c>
    </row>
    <row r="25" customFormat="false" ht="15" hidden="false" customHeight="true" outlineLevel="0" collapsed="false">
      <c r="A25" s="36"/>
      <c r="B25" s="37"/>
      <c r="C25" s="37"/>
      <c r="D25" s="38"/>
      <c r="E25" s="10" t="str">
        <f aca="false">IF(D25="","",$B$4-SUM($D$8:D25))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2026-07-13T22:53:36Z</dcterms:created>
  <dc:creator>openpyxl</dc:creator>
  <dc:description/>
  <dc:language>en-US</dc:language>
  <cp:lastModifiedBy/>
  <dcterms:modified xsi:type="dcterms:W3CDTF">2026-07-20T18:32:48Z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