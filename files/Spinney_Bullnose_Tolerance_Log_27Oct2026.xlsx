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lerance log" sheetId="1" state="visible" r:id="rId3"/>
    <sheet name="Laying or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<sst xmlns="http://schemas.openxmlformats.org/spreadsheetml/2006/main" count="233" uniqueCount="96">
  <si>
    <t xml:space="preserve">Spinney — Bullnose board calliper log, 27 Oct 2026</t>
  </si>
  <si>
    <t xml:space="preserve">Millboard Ashwood bullnose (MEBB360H), 19 boards measured by calliper (mm). Readings are the handwritten record of 27/10/26; crossed-out values resolved by Ryan: #1 right back 31.65, #2 left back 31.73, #7 left width 150.63, #11 left back 31.95.</t>
  </si>
  <si>
    <t xml:space="preserve">Nominal width (mm)</t>
  </si>
  <si>
    <t xml:space="preserve">Assumed nominals — edit if the manufacturer figures differ; all deviations and pass/fail below recalculate.</t>
  </si>
  <si>
    <t xml:space="preserve">Nominal thickness (mm)</t>
  </si>
  <si>
    <t xml:space="preserve">Tolerance, ± (mm) — manufacturer guideline</t>
  </si>
  <si>
    <t xml:space="preserve">Board #</t>
  </si>
  <si>
    <t xml:space="preserve">Batch</t>
  </si>
  <si>
    <t xml:space="preserve">Status</t>
  </si>
  <si>
    <t xml:space="preserve">Left width</t>
  </si>
  <si>
    <t xml:space="preserve">Left back</t>
  </si>
  <si>
    <t xml:space="preserve">Left bullnose</t>
  </si>
  <si>
    <t xml:space="preserve">Right width</t>
  </si>
  <si>
    <t xml:space="preserve">Right back</t>
  </si>
  <si>
    <t xml:space="preserve">Right bullnose</t>
  </si>
  <si>
    <t xml:space="preserve">Δ L width</t>
  </si>
  <si>
    <t xml:space="preserve">Δ L back</t>
  </si>
  <si>
    <t xml:space="preserve">Δ L bullnose</t>
  </si>
  <si>
    <t xml:space="preserve">Δ R width</t>
  </si>
  <si>
    <t xml:space="preserve">Δ R back</t>
  </si>
  <si>
    <t xml:space="preserve">Δ R bullnose</t>
  </si>
  <si>
    <t xml:space="preserve">Worst |Δ|</t>
  </si>
  <si>
    <t xml:space="preserve">Result</t>
  </si>
  <si>
    <t xml:space="preserve">—</t>
  </si>
  <si>
    <t xml:space="preserve">Fixed in place (fence edge)</t>
  </si>
  <si>
    <t xml:space="preserve">1011 030626</t>
  </si>
  <si>
    <t xml:space="preserve">Uncut</t>
  </si>
  <si>
    <t xml:space="preserve">1008 030626</t>
  </si>
  <si>
    <t xml:space="preserve">1830 03082026</t>
  </si>
  <si>
    <t xml:space="preserve">1739 03082026</t>
  </si>
  <si>
    <t xml:space="preserve">0741 030626</t>
  </si>
  <si>
    <t xml:space="preserve">1029 030626</t>
  </si>
  <si>
    <t xml:space="preserve">1012 030626</t>
  </si>
  <si>
    <t xml:space="preserve">1020 030626</t>
  </si>
  <si>
    <t xml:space="preserve">1025 030626</t>
  </si>
  <si>
    <t xml:space="preserve">1018 030626</t>
  </si>
  <si>
    <t xml:space="preserve">— (Gate step)</t>
  </si>
  <si>
    <t xml:space="preserve">Fixed in place (gate step)</t>
  </si>
  <si>
    <t xml:space="preserve">— (Diagonal to upper level)</t>
  </si>
  <si>
    <t xml:space="preserve">Fixed in place (diagonal to upper level)</t>
  </si>
  <si>
    <t xml:space="preserve">Summary</t>
  </si>
  <si>
    <t xml:space="preserve">Boards measured</t>
  </si>
  <si>
    <t xml:space="preserve">Boards passing</t>
  </si>
  <si>
    <t xml:space="preserve">Boards failing</t>
  </si>
  <si>
    <t xml:space="preserve">Largest deviation from nominal (mm)</t>
  </si>
  <si>
    <t xml:space="preserve">Smallest width reading (mm)</t>
  </si>
  <si>
    <t xml:space="preserve">Largest width reading (mm)</t>
  </si>
  <si>
    <t xml:space="preserve">Smallest thickness reading (mm)</t>
  </si>
  <si>
    <t xml:space="preserve">Largest thickness reading (mm)</t>
  </si>
  <si>
    <t xml:space="preserve">Boards #1–6, #18 and #19 carry no batch code: they were measured before being cut to shape and fixed. Boards #7–17 are uncut with batch code underneath. 18 full-length equivalents in total (7 cut + 11 uncut).</t>
  </si>
  <si>
    <t xml:space="preserve">Optimal laying order — 11 uncut bullnose boards, one continuous edge, laid left to right</t>
  </si>
  <si>
    <t xml:space="preserve">Method: a joint is the RIGHT end of one board meeting the LEFT end of the next. Mismatch = absolute difference between those two readings. Every possible order of the 11 boards was tested (exact, not a heuristic); the order with the smallest total mismatch wins. First board joins on its right only; last board joins on its left only.</t>
  </si>
  <si>
    <t xml:space="preserve">Four scenarios: optimise for width, bullnose face thickness, back-edge thickness, or all three together (worst of the three at each joint). Boards are laid in the orientation measured (left end to the left); no board is turned round. Boards already fixed (#1–6, #18, #19) are excluded.</t>
  </si>
  <si>
    <t xml:space="preserve">Mismatch figures are live formulas against the Tolerance log sheet. Lower is better; a smaller mismatch means less visible step at the joint.</t>
  </si>
  <si>
    <t xml:space="preserve">Summary — best order by scenario</t>
  </si>
  <si>
    <t xml:space="preserve">Scenario</t>
  </si>
  <si>
    <t xml:space="preserve">Best laying order (board numbers, left → right)</t>
  </si>
  <si>
    <t xml:space="preserve">Total mismatch (mm)</t>
  </si>
  <si>
    <t xml:space="preserve">Worst single joint (mm)</t>
  </si>
  <si>
    <t xml:space="preserve">Typical random order (mm)</t>
  </si>
  <si>
    <t xml:space="preserve">Improvement vs random</t>
  </si>
  <si>
    <t xml:space="preserve">Width</t>
  </si>
  <si>
    <t xml:space="preserve">10 → 12 → 7 → 9 → 11 → 14 → 15 → 16 → 13 → 17 → 8</t>
  </si>
  <si>
    <t xml:space="preserve">Bullnose face</t>
  </si>
  <si>
    <t xml:space="preserve">17 → 7 → 14 → 15 → 8 → 12 → 11 → 13 → 16 → 10 → 9</t>
  </si>
  <si>
    <t xml:space="preserve">Back edge</t>
  </si>
  <si>
    <t xml:space="preserve">7 → 10 → 9 → 11 → 8 → 12 → 14 → 16 → 17 → 15 → 13</t>
  </si>
  <si>
    <t xml:space="preserve">Combined (worst of the three)</t>
  </si>
  <si>
    <t xml:space="preserve">10 → 9 → 11 → 8 → 13 → 12 → 16 → 15 → 14 → 7 → 17</t>
  </si>
  <si>
    <t xml:space="preserve">"Typical random order" is the average total mismatch over all possible orders, for comparison. Combined scenario scores each joint by its worst of the three differences.</t>
  </si>
  <si>
    <t xml:space="preserve">Scenario: Width</t>
  </si>
  <si>
    <t xml:space="preserve">Best order</t>
  </si>
  <si>
    <t xml:space="preserve">Position</t>
  </si>
  <si>
    <t xml:space="preserve">Right end → Next board left end</t>
  </si>
  <si>
    <t xml:space="preserve">Next board #</t>
  </si>
  <si>
    <t xml:space="preserve">Mismatch at joint (mm)</t>
  </si>
  <si>
    <t xml:space="preserve">(end of edge)</t>
  </si>
  <si>
    <t xml:space="preserve">Total mismatch</t>
  </si>
  <si>
    <t xml:space="preserve">Worst joint</t>
  </si>
  <si>
    <t xml:space="preserve">2nd-best alternative</t>
  </si>
  <si>
    <t xml:space="preserve">10 → 12 → 7 → 9 → 11 → 14 → 15 → 16 → 17 → 13 → 8</t>
  </si>
  <si>
    <t xml:space="preserve">3rd-best alternative</t>
  </si>
  <si>
    <t xml:space="preserve">10 → 12 → 7 → 9 → 11 → 14 → 15 → 17 → 13 → 16 → 8</t>
  </si>
  <si>
    <t xml:space="preserve">Scenario: Bullnose face</t>
  </si>
  <si>
    <t xml:space="preserve">17 → 7 → 14 → 15 → 8 → 13 → 12 → 11 → 16 → 10 → 9</t>
  </si>
  <si>
    <t xml:space="preserve">17 → 7 → 14 → 15 → 11 → 12 → 8 → 13 → 16 → 10 → 9</t>
  </si>
  <si>
    <t xml:space="preserve">Scenario: Back edge</t>
  </si>
  <si>
    <t xml:space="preserve">7 → 10 → 9 → 11 → 8 → 16 → 17 → 15 → 14 → 12 → 13</t>
  </si>
  <si>
    <t xml:space="preserve">15 → 14 → 16 → 17 → 7 → 10 → 9 → 11 → 8 → 12 → 13</t>
  </si>
  <si>
    <t xml:space="preserve">Scenario: Combined (worst of the three)</t>
  </si>
  <si>
    <t xml:space="preserve">Width mismatch (mm)</t>
  </si>
  <si>
    <t xml:space="preserve">Bullnose-face mismatch (mm)</t>
  </si>
  <si>
    <t xml:space="preserve">Back-edge mismatch (mm)</t>
  </si>
  <si>
    <t xml:space="preserve">Worst of three (mm)</t>
  </si>
  <si>
    <t xml:space="preserve">10 → 9 → 11 → 8 → 13 → 12 → 14 → 16 → 15 → 7 → 17</t>
  </si>
  <si>
    <t xml:space="preserve">10 → 9 → 11 → 8 → 13 → 14 → 16 → 15 → 12 → 7 → 17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</si>
</sst>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+0.00;\-0.00;0.00"/>
    <numFmt numFmtId="167" formatCode="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766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F766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0F766E"/>
        <bgColor rgb="FF05966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DC2626"/>
      </font>
    </dxf>
    <dxf>
      <font>
        <b val="1"/>
        <color rgb="FF059669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4" min="13" style="0" width="9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9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A4" s="3" t="s">
        <v>2</v>
      </c>
      <c r="C4" s="4" t="n">
        <v>150</v>
      </c>
      <c r="D4" s="5" t="s">
        <v>3</v>
      </c>
    </row>
    <row r="5" customFormat="false" ht="15" hidden="false" customHeight="false" outlineLevel="0" collapsed="false">
      <c r="A5" s="3" t="s">
        <v>4</v>
      </c>
      <c r="C5" s="4" t="n">
        <v>32</v>
      </c>
    </row>
    <row r="6" customFormat="false" ht="15" hidden="false" customHeight="false" outlineLevel="0" collapsed="false">
      <c r="A6" s="3" t="s">
        <v>5</v>
      </c>
      <c r="C6" s="4" t="n">
        <v>2</v>
      </c>
    </row>
    <row r="8" customFormat="false" ht="31.5" hidden="false" customHeight="true" outlineLevel="0" collapsed="false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21</v>
      </c>
      <c r="Q8" s="6" t="s">
        <v>22</v>
      </c>
    </row>
    <row r="9" customFormat="false" ht="15" hidden="false" customHeight="false" outlineLevel="0" collapsed="false">
      <c r="A9" s="7" t="n">
        <v>1</v>
      </c>
      <c r="B9" s="7" t="s">
        <v>23</v>
      </c>
      <c r="C9" s="7" t="s">
        <v>24</v>
      </c>
      <c r="D9" s="8" t="n">
        <v>149.48</v>
      </c>
      <c r="E9" s="8" t="n">
        <v>31.23</v>
      </c>
      <c r="F9" s="8" t="n">
        <v>30.28</v>
      </c>
      <c r="G9" s="8" t="n">
        <v>150.12</v>
      </c>
      <c r="H9" s="8" t="n">
        <v>31.65</v>
      </c>
      <c r="I9" s="8" t="n">
        <v>31.29</v>
      </c>
      <c r="J9" s="9" t="n">
        <f aca="false">D9-$C$4</f>
        <v>-0.52000000000001</v>
      </c>
      <c r="K9" s="9" t="n">
        <f aca="false">E9-$C$5</f>
        <v>-0.77</v>
      </c>
      <c r="L9" s="9" t="n">
        <f aca="false">F9-$C$5</f>
        <v>-1.72</v>
      </c>
      <c r="M9" s="9" t="n">
        <f aca="false">G9-$C$4</f>
        <v>0.120000000000005</v>
      </c>
      <c r="N9" s="9" t="n">
        <f aca="false">H9-$C$5</f>
        <v>-0.350000000000001</v>
      </c>
      <c r="O9" s="9" t="n">
        <f aca="false">I9-$C$5</f>
        <v>-0.710000000000001</v>
      </c>
      <c r="P9" s="10" t="n">
        <f aca="false">MAX(ABS(J9),ABS(K9),ABS(L9),ABS(M9),ABS(N9),ABS(O9))</f>
        <v>1.72</v>
      </c>
      <c r="Q9" s="11" t="str">
        <f aca="false">IF(P9&lt;=$C$6,"Pass","FAIL")</f>
        <v>Pass</v>
      </c>
    </row>
    <row r="10" customFormat="false" ht="15" hidden="false" customHeight="false" outlineLevel="0" collapsed="false">
      <c r="A10" s="7" t="n">
        <v>2</v>
      </c>
      <c r="B10" s="7" t="s">
        <v>23</v>
      </c>
      <c r="C10" s="7" t="s">
        <v>24</v>
      </c>
      <c r="D10" s="8" t="n">
        <v>151.27</v>
      </c>
      <c r="E10" s="8" t="n">
        <v>31.73</v>
      </c>
      <c r="F10" s="8" t="n">
        <v>30.5</v>
      </c>
      <c r="G10" s="8" t="n">
        <v>150.99</v>
      </c>
      <c r="H10" s="8" t="n">
        <v>31.73</v>
      </c>
      <c r="I10" s="8" t="n">
        <v>31</v>
      </c>
      <c r="J10" s="9" t="n">
        <f aca="false">D10-$C$4</f>
        <v>1.27000000000001</v>
      </c>
      <c r="K10" s="9" t="n">
        <f aca="false">E10-$C$5</f>
        <v>-0.27</v>
      </c>
      <c r="L10" s="9" t="n">
        <f aca="false">F10-$C$5</f>
        <v>-1.5</v>
      </c>
      <c r="M10" s="9" t="n">
        <f aca="false">G10-$C$4</f>
        <v>0.990000000000009</v>
      </c>
      <c r="N10" s="9" t="n">
        <f aca="false">H10-$C$5</f>
        <v>-0.27</v>
      </c>
      <c r="O10" s="9" t="n">
        <f aca="false">I10-$C$5</f>
        <v>-1</v>
      </c>
      <c r="P10" s="10" t="n">
        <f aca="false">MAX(ABS(J10),ABS(K10),ABS(L10),ABS(M10),ABS(N10),ABS(O10))</f>
        <v>1.5</v>
      </c>
      <c r="Q10" s="11" t="str">
        <f aca="false">IF(P10&lt;=$C$6,"Pass","FAIL")</f>
        <v>Pass</v>
      </c>
    </row>
    <row r="11" customFormat="false" ht="15" hidden="false" customHeight="false" outlineLevel="0" collapsed="false">
      <c r="A11" s="7" t="n">
        <v>3</v>
      </c>
      <c r="B11" s="7" t="s">
        <v>23</v>
      </c>
      <c r="C11" s="7" t="s">
        <v>24</v>
      </c>
      <c r="D11" s="8" t="n">
        <v>151.04</v>
      </c>
      <c r="E11" s="8" t="n">
        <v>31.76</v>
      </c>
      <c r="F11" s="8" t="n">
        <v>30.7</v>
      </c>
      <c r="G11" s="8" t="n">
        <v>150.04</v>
      </c>
      <c r="H11" s="8" t="n">
        <v>30.7</v>
      </c>
      <c r="I11" s="8" t="n">
        <v>32.02</v>
      </c>
      <c r="J11" s="9" t="n">
        <f aca="false">D11-$C$4</f>
        <v>1.03999999999999</v>
      </c>
      <c r="K11" s="9" t="n">
        <f aca="false">E11-$C$5</f>
        <v>-0.239999999999998</v>
      </c>
      <c r="L11" s="9" t="n">
        <f aca="false">F11-$C$5</f>
        <v>-1.3</v>
      </c>
      <c r="M11" s="9" t="n">
        <f aca="false">G11-$C$4</f>
        <v>0.039999999999992</v>
      </c>
      <c r="N11" s="9" t="n">
        <f aca="false">H11-$C$5</f>
        <v>-1.3</v>
      </c>
      <c r="O11" s="9" t="n">
        <f aca="false">I11-$C$5</f>
        <v>0.0200000000000031</v>
      </c>
      <c r="P11" s="10" t="n">
        <f aca="false">MAX(ABS(J11),ABS(K11),ABS(L11),ABS(M11),ABS(N11),ABS(O11))</f>
        <v>1.3</v>
      </c>
      <c r="Q11" s="11" t="str">
        <f aca="false">IF(P11&lt;=$C$6,"Pass","FAIL")</f>
        <v>Pass</v>
      </c>
    </row>
    <row r="12" customFormat="false" ht="15" hidden="false" customHeight="false" outlineLevel="0" collapsed="false">
      <c r="A12" s="7" t="n">
        <v>4</v>
      </c>
      <c r="B12" s="7" t="s">
        <v>23</v>
      </c>
      <c r="C12" s="7" t="s">
        <v>24</v>
      </c>
      <c r="D12" s="8" t="n">
        <v>151.21</v>
      </c>
      <c r="E12" s="8" t="n">
        <v>30.97</v>
      </c>
      <c r="F12" s="8" t="n">
        <v>31.17</v>
      </c>
      <c r="G12" s="8" t="n">
        <v>150.5</v>
      </c>
      <c r="H12" s="8" t="n">
        <v>31.31</v>
      </c>
      <c r="I12" s="8" t="n">
        <v>31.42</v>
      </c>
      <c r="J12" s="9" t="n">
        <f aca="false">D12-$C$4</f>
        <v>1.21000000000001</v>
      </c>
      <c r="K12" s="9" t="n">
        <f aca="false">E12-$C$5</f>
        <v>-1.03</v>
      </c>
      <c r="L12" s="9" t="n">
        <f aca="false">F12-$C$5</f>
        <v>-0.829999999999998</v>
      </c>
      <c r="M12" s="9" t="n">
        <f aca="false">G12-$C$4</f>
        <v>0.5</v>
      </c>
      <c r="N12" s="9" t="n">
        <f aca="false">H12-$C$5</f>
        <v>-0.690000000000001</v>
      </c>
      <c r="O12" s="9" t="n">
        <f aca="false">I12-$C$5</f>
        <v>-0.579999999999998</v>
      </c>
      <c r="P12" s="10" t="n">
        <f aca="false">MAX(ABS(J12),ABS(K12),ABS(L12),ABS(M12),ABS(N12),ABS(O12))</f>
        <v>1.21000000000001</v>
      </c>
      <c r="Q12" s="11" t="str">
        <f aca="false">IF(P12&lt;=$C$6,"Pass","FAIL")</f>
        <v>Pass</v>
      </c>
    </row>
    <row r="13" customFormat="false" ht="15" hidden="false" customHeight="false" outlineLevel="0" collapsed="false">
      <c r="A13" s="7" t="n">
        <v>5</v>
      </c>
      <c r="B13" s="7" t="s">
        <v>23</v>
      </c>
      <c r="C13" s="7" t="s">
        <v>24</v>
      </c>
      <c r="D13" s="8" t="n">
        <v>150.64</v>
      </c>
      <c r="E13" s="8" t="n">
        <v>31.04</v>
      </c>
      <c r="F13" s="8" t="n">
        <v>31.05</v>
      </c>
      <c r="G13" s="8" t="n">
        <v>149.64</v>
      </c>
      <c r="H13" s="8" t="n">
        <v>31.04</v>
      </c>
      <c r="I13" s="8" t="n">
        <v>31.05</v>
      </c>
      <c r="J13" s="9" t="n">
        <f aca="false">D13-$C$4</f>
        <v>0.639999999999986</v>
      </c>
      <c r="K13" s="9" t="n">
        <f aca="false">E13-$C$5</f>
        <v>-0.960000000000001</v>
      </c>
      <c r="L13" s="9" t="n">
        <f aca="false">F13-$C$5</f>
        <v>-0.949999999999999</v>
      </c>
      <c r="M13" s="9" t="n">
        <f aca="false">G13-$C$4</f>
        <v>-0.360000000000014</v>
      </c>
      <c r="N13" s="9" t="n">
        <f aca="false">H13-$C$5</f>
        <v>-0.960000000000001</v>
      </c>
      <c r="O13" s="9" t="n">
        <f aca="false">I13-$C$5</f>
        <v>-0.949999999999999</v>
      </c>
      <c r="P13" s="10" t="n">
        <f aca="false">MAX(ABS(J13),ABS(K13),ABS(L13),ABS(M13),ABS(N13),ABS(O13))</f>
        <v>0.960000000000001</v>
      </c>
      <c r="Q13" s="11" t="str">
        <f aca="false">IF(P13&lt;=$C$6,"Pass","FAIL")</f>
        <v>Pass</v>
      </c>
    </row>
    <row r="14" customFormat="false" ht="15" hidden="false" customHeight="false" outlineLevel="0" collapsed="false">
      <c r="A14" s="7" t="n">
        <v>6</v>
      </c>
      <c r="B14" s="7" t="s">
        <v>23</v>
      </c>
      <c r="C14" s="7" t="s">
        <v>24</v>
      </c>
      <c r="D14" s="8" t="n">
        <v>151.08</v>
      </c>
      <c r="E14" s="8" t="n">
        <v>31.6</v>
      </c>
      <c r="F14" s="8" t="n">
        <v>30.87</v>
      </c>
      <c r="G14" s="8" t="n">
        <v>151.24</v>
      </c>
      <c r="H14" s="8" t="n">
        <v>31.6</v>
      </c>
      <c r="I14" s="8" t="n">
        <v>31.47</v>
      </c>
      <c r="J14" s="9" t="n">
        <f aca="false">D14-$C$4</f>
        <v>1.08000000000001</v>
      </c>
      <c r="K14" s="9" t="n">
        <f aca="false">E14-$C$5</f>
        <v>-0.399999999999999</v>
      </c>
      <c r="L14" s="9" t="n">
        <f aca="false">F14-$C$5</f>
        <v>-1.13</v>
      </c>
      <c r="M14" s="9" t="n">
        <f aca="false">G14-$C$4</f>
        <v>1.24000000000001</v>
      </c>
      <c r="N14" s="9" t="n">
        <f aca="false">H14-$C$5</f>
        <v>-0.399999999999999</v>
      </c>
      <c r="O14" s="9" t="n">
        <f aca="false">I14-$C$5</f>
        <v>-0.530000000000001</v>
      </c>
      <c r="P14" s="10" t="n">
        <f aca="false">MAX(ABS(J14),ABS(K14),ABS(L14),ABS(M14),ABS(N14),ABS(O14))</f>
        <v>1.24000000000001</v>
      </c>
      <c r="Q14" s="11" t="str">
        <f aca="false">IF(P14&lt;=$C$6,"Pass","FAIL")</f>
        <v>Pass</v>
      </c>
    </row>
    <row r="15" customFormat="false" ht="15" hidden="false" customHeight="false" outlineLevel="0" collapsed="false">
      <c r="A15" s="7" t="n">
        <v>7</v>
      </c>
      <c r="B15" s="7" t="s">
        <v>25</v>
      </c>
      <c r="C15" s="7" t="s">
        <v>26</v>
      </c>
      <c r="D15" s="8" t="n">
        <v>150.63</v>
      </c>
      <c r="E15" s="8" t="n">
        <v>31.06</v>
      </c>
      <c r="F15" s="8" t="n">
        <v>31.07</v>
      </c>
      <c r="G15" s="8" t="n">
        <v>149.46</v>
      </c>
      <c r="H15" s="8" t="n">
        <v>30.75</v>
      </c>
      <c r="I15" s="8" t="n">
        <v>31.34</v>
      </c>
      <c r="J15" s="9" t="n">
        <f aca="false">D15-$C$4</f>
        <v>0.629999999999996</v>
      </c>
      <c r="K15" s="9" t="n">
        <f aca="false">E15-$C$5</f>
        <v>-0.940000000000001</v>
      </c>
      <c r="L15" s="9" t="n">
        <f aca="false">F15-$C$5</f>
        <v>-0.93</v>
      </c>
      <c r="M15" s="9" t="n">
        <f aca="false">G15-$C$4</f>
        <v>-0.539999999999992</v>
      </c>
      <c r="N15" s="9" t="n">
        <f aca="false">H15-$C$5</f>
        <v>-1.25</v>
      </c>
      <c r="O15" s="9" t="n">
        <f aca="false">I15-$C$5</f>
        <v>-0.66</v>
      </c>
      <c r="P15" s="10" t="n">
        <f aca="false">MAX(ABS(J15),ABS(K15),ABS(L15),ABS(M15),ABS(N15),ABS(O15))</f>
        <v>1.25</v>
      </c>
      <c r="Q15" s="11" t="str">
        <f aca="false">IF(P15&lt;=$C$6,"Pass","FAIL")</f>
        <v>Pass</v>
      </c>
    </row>
    <row r="16" customFormat="false" ht="15" hidden="false" customHeight="false" outlineLevel="0" collapsed="false">
      <c r="A16" s="7" t="n">
        <v>8</v>
      </c>
      <c r="B16" s="7" t="s">
        <v>27</v>
      </c>
      <c r="C16" s="7" t="s">
        <v>26</v>
      </c>
      <c r="D16" s="8" t="n">
        <v>150.64</v>
      </c>
      <c r="E16" s="8" t="n">
        <v>32.45</v>
      </c>
      <c r="F16" s="8" t="n">
        <v>31.45</v>
      </c>
      <c r="G16" s="8" t="n">
        <v>149.33</v>
      </c>
      <c r="H16" s="8" t="n">
        <v>31.48</v>
      </c>
      <c r="I16" s="8" t="n">
        <v>31.31</v>
      </c>
      <c r="J16" s="9" t="n">
        <f aca="false">D16-$C$4</f>
        <v>0.639999999999986</v>
      </c>
      <c r="K16" s="9" t="n">
        <f aca="false">E16-$C$5</f>
        <v>0.450000000000003</v>
      </c>
      <c r="L16" s="9" t="n">
        <f aca="false">F16-$C$5</f>
        <v>-0.550000000000001</v>
      </c>
      <c r="M16" s="9" t="n">
        <f aca="false">G16-$C$4</f>
        <v>-0.669999999999988</v>
      </c>
      <c r="N16" s="9" t="n">
        <f aca="false">H16-$C$5</f>
        <v>-0.52</v>
      </c>
      <c r="O16" s="9" t="n">
        <f aca="false">I16-$C$5</f>
        <v>-0.690000000000001</v>
      </c>
      <c r="P16" s="10" t="n">
        <f aca="false">MAX(ABS(J16),ABS(K16),ABS(L16),ABS(M16),ABS(N16),ABS(O16))</f>
        <v>0.690000000000001</v>
      </c>
      <c r="Q16" s="11" t="str">
        <f aca="false">IF(P16&lt;=$C$6,"Pass","FAIL")</f>
        <v>Pass</v>
      </c>
    </row>
    <row r="17" customFormat="false" ht="15" hidden="false" customHeight="false" outlineLevel="0" collapsed="false">
      <c r="A17" s="7" t="n">
        <v>9</v>
      </c>
      <c r="B17" s="7" t="s">
        <v>28</v>
      </c>
      <c r="C17" s="7" t="s">
        <v>26</v>
      </c>
      <c r="D17" s="8" t="n">
        <v>150.69</v>
      </c>
      <c r="E17" s="8" t="n">
        <v>31.76</v>
      </c>
      <c r="F17" s="8" t="n">
        <v>31.86</v>
      </c>
      <c r="G17" s="8" t="n">
        <v>149.49</v>
      </c>
      <c r="H17" s="8" t="n">
        <v>31.86</v>
      </c>
      <c r="I17" s="8" t="n">
        <v>32.17</v>
      </c>
      <c r="J17" s="9" t="n">
        <f aca="false">D17-$C$4</f>
        <v>0.689999999999998</v>
      </c>
      <c r="K17" s="9" t="n">
        <f aca="false">E17-$C$5</f>
        <v>-0.239999999999998</v>
      </c>
      <c r="L17" s="9" t="n">
        <f aca="false">F17-$C$5</f>
        <v>-0.140000000000001</v>
      </c>
      <c r="M17" s="9" t="n">
        <f aca="false">G17-$C$4</f>
        <v>-0.509999999999991</v>
      </c>
      <c r="N17" s="9" t="n">
        <f aca="false">H17-$C$5</f>
        <v>-0.140000000000001</v>
      </c>
      <c r="O17" s="9" t="n">
        <f aca="false">I17-$C$5</f>
        <v>0.170000000000002</v>
      </c>
      <c r="P17" s="10" t="n">
        <f aca="false">MAX(ABS(J17),ABS(K17),ABS(L17),ABS(M17),ABS(N17),ABS(O17))</f>
        <v>0.689999999999998</v>
      </c>
      <c r="Q17" s="11" t="str">
        <f aca="false">IF(P17&lt;=$C$6,"Pass","FAIL")</f>
        <v>Pass</v>
      </c>
    </row>
    <row r="18" customFormat="false" ht="15" hidden="false" customHeight="false" outlineLevel="0" collapsed="false">
      <c r="A18" s="7" t="n">
        <v>10</v>
      </c>
      <c r="B18" s="7" t="s">
        <v>29</v>
      </c>
      <c r="C18" s="7" t="s">
        <v>26</v>
      </c>
      <c r="D18" s="8" t="n">
        <v>151.4</v>
      </c>
      <c r="E18" s="8" t="n">
        <v>30.89</v>
      </c>
      <c r="F18" s="8" t="n">
        <v>31.81</v>
      </c>
      <c r="G18" s="8" t="n">
        <v>150.7</v>
      </c>
      <c r="H18" s="8" t="n">
        <v>31.74</v>
      </c>
      <c r="I18" s="8" t="n">
        <v>31.87</v>
      </c>
      <c r="J18" s="9" t="n">
        <f aca="false">D18-$C$4</f>
        <v>1.40000000000001</v>
      </c>
      <c r="K18" s="9" t="n">
        <f aca="false">E18-$C$5</f>
        <v>-1.11</v>
      </c>
      <c r="L18" s="9" t="n">
        <f aca="false">F18-$C$5</f>
        <v>-0.190000000000001</v>
      </c>
      <c r="M18" s="9" t="n">
        <f aca="false">G18-$C$4</f>
        <v>0.699999999999989</v>
      </c>
      <c r="N18" s="9" t="n">
        <f aca="false">H18-$C$5</f>
        <v>-0.260000000000002</v>
      </c>
      <c r="O18" s="9" t="n">
        <f aca="false">I18-$C$5</f>
        <v>-0.129999999999999</v>
      </c>
      <c r="P18" s="10" t="n">
        <f aca="false">MAX(ABS(J18),ABS(K18),ABS(L18),ABS(M18),ABS(N18),ABS(O18))</f>
        <v>1.40000000000001</v>
      </c>
      <c r="Q18" s="11" t="str">
        <f aca="false">IF(P18&lt;=$C$6,"Pass","FAIL")</f>
        <v>Pass</v>
      </c>
    </row>
    <row r="19" customFormat="false" ht="15" hidden="false" customHeight="false" outlineLevel="0" collapsed="false">
      <c r="A19" s="7" t="n">
        <v>11</v>
      </c>
      <c r="B19" s="7" t="s">
        <v>29</v>
      </c>
      <c r="C19" s="7" t="s">
        <v>26</v>
      </c>
      <c r="D19" s="8" t="n">
        <v>150.25</v>
      </c>
      <c r="E19" s="8" t="n">
        <v>31.95</v>
      </c>
      <c r="F19" s="8" t="n">
        <v>31.47</v>
      </c>
      <c r="G19" s="8" t="n">
        <v>150.11</v>
      </c>
      <c r="H19" s="8" t="n">
        <v>32.37</v>
      </c>
      <c r="I19" s="8" t="n">
        <v>31.27</v>
      </c>
      <c r="J19" s="9" t="n">
        <f aca="false">D19-$C$4</f>
        <v>0.25</v>
      </c>
      <c r="K19" s="9" t="n">
        <f aca="false">E19-$C$5</f>
        <v>-0.0500000000000007</v>
      </c>
      <c r="L19" s="9" t="n">
        <f aca="false">F19-$C$5</f>
        <v>-0.530000000000001</v>
      </c>
      <c r="M19" s="9" t="n">
        <f aca="false">G19-$C$4</f>
        <v>0.110000000000014</v>
      </c>
      <c r="N19" s="9" t="n">
        <f aca="false">H19-$C$5</f>
        <v>0.369999999999997</v>
      </c>
      <c r="O19" s="9" t="n">
        <f aca="false">I19-$C$5</f>
        <v>-0.73</v>
      </c>
      <c r="P19" s="10" t="n">
        <f aca="false">MAX(ABS(J19),ABS(K19),ABS(L19),ABS(M19),ABS(N19),ABS(O19))</f>
        <v>0.73</v>
      </c>
      <c r="Q19" s="11" t="str">
        <f aca="false">IF(P19&lt;=$C$6,"Pass","FAIL")</f>
        <v>Pass</v>
      </c>
    </row>
    <row r="20" customFormat="false" ht="15" hidden="false" customHeight="false" outlineLevel="0" collapsed="false">
      <c r="A20" s="7" t="n">
        <v>12</v>
      </c>
      <c r="B20" s="7" t="s">
        <v>30</v>
      </c>
      <c r="C20" s="7" t="s">
        <v>26</v>
      </c>
      <c r="D20" s="8" t="n">
        <v>151.04</v>
      </c>
      <c r="E20" s="8" t="n">
        <v>31.4</v>
      </c>
      <c r="F20" s="8" t="n">
        <v>31.1</v>
      </c>
      <c r="G20" s="8" t="n">
        <v>150.35</v>
      </c>
      <c r="H20" s="8" t="n">
        <v>31.58</v>
      </c>
      <c r="I20" s="8" t="n">
        <v>31.52</v>
      </c>
      <c r="J20" s="9" t="n">
        <f aca="false">D20-$C$4</f>
        <v>1.03999999999999</v>
      </c>
      <c r="K20" s="9" t="n">
        <f aca="false">E20-$C$5</f>
        <v>-0.600000000000001</v>
      </c>
      <c r="L20" s="9" t="n">
        <f aca="false">F20-$C$5</f>
        <v>-0.899999999999999</v>
      </c>
      <c r="M20" s="9" t="n">
        <f aca="false">G20-$C$4</f>
        <v>0.349999999999994</v>
      </c>
      <c r="N20" s="9" t="n">
        <f aca="false">H20-$C$5</f>
        <v>-0.420000000000002</v>
      </c>
      <c r="O20" s="9" t="n">
        <f aca="false">I20-$C$5</f>
        <v>-0.48</v>
      </c>
      <c r="P20" s="10" t="n">
        <f aca="false">MAX(ABS(J20),ABS(K20),ABS(L20),ABS(M20),ABS(N20),ABS(O20))</f>
        <v>1.03999999999999</v>
      </c>
      <c r="Q20" s="11" t="str">
        <f aca="false">IF(P20&lt;=$C$6,"Pass","FAIL")</f>
        <v>Pass</v>
      </c>
    </row>
    <row r="21" customFormat="false" ht="15" hidden="false" customHeight="false" outlineLevel="0" collapsed="false">
      <c r="A21" s="7" t="n">
        <v>13</v>
      </c>
      <c r="B21" s="7" t="s">
        <v>31</v>
      </c>
      <c r="C21" s="7" t="s">
        <v>26</v>
      </c>
      <c r="D21" s="8" t="n">
        <v>149.72</v>
      </c>
      <c r="E21" s="8" t="n">
        <v>31.59</v>
      </c>
      <c r="F21" s="8" t="n">
        <v>31.12</v>
      </c>
      <c r="G21" s="8" t="n">
        <v>150.28</v>
      </c>
      <c r="H21" s="8" t="n">
        <v>31.84</v>
      </c>
      <c r="I21" s="8" t="n">
        <v>31.32</v>
      </c>
      <c r="J21" s="9" t="n">
        <f aca="false">D21-$C$4</f>
        <v>-0.280000000000001</v>
      </c>
      <c r="K21" s="9" t="n">
        <f aca="false">E21-$C$5</f>
        <v>-0.41</v>
      </c>
      <c r="L21" s="9" t="n">
        <f aca="false">F21-$C$5</f>
        <v>-0.879999999999999</v>
      </c>
      <c r="M21" s="9" t="n">
        <f aca="false">G21-$C$4</f>
        <v>0.280000000000001</v>
      </c>
      <c r="N21" s="9" t="n">
        <f aca="false">H21-$C$5</f>
        <v>-0.16</v>
      </c>
      <c r="O21" s="9" t="n">
        <f aca="false">I21-$C$5</f>
        <v>-0.68</v>
      </c>
      <c r="P21" s="10" t="n">
        <f aca="false">MAX(ABS(J21),ABS(K21),ABS(L21),ABS(M21),ABS(N21),ABS(O21))</f>
        <v>0.879999999999999</v>
      </c>
      <c r="Q21" s="11" t="str">
        <f aca="false">IF(P21&lt;=$C$6,"Pass","FAIL")</f>
        <v>Pass</v>
      </c>
    </row>
    <row r="22" customFormat="false" ht="15" hidden="false" customHeight="false" outlineLevel="0" collapsed="false">
      <c r="A22" s="7" t="n">
        <v>14</v>
      </c>
      <c r="B22" s="7" t="s">
        <v>32</v>
      </c>
      <c r="C22" s="7" t="s">
        <v>26</v>
      </c>
      <c r="D22" s="8" t="n">
        <v>150.4</v>
      </c>
      <c r="E22" s="8" t="n">
        <v>31.61</v>
      </c>
      <c r="F22" s="8" t="n">
        <v>31.39</v>
      </c>
      <c r="G22" s="8" t="n">
        <v>150.25</v>
      </c>
      <c r="H22" s="8" t="n">
        <v>31.53</v>
      </c>
      <c r="I22" s="8" t="n">
        <v>31</v>
      </c>
      <c r="J22" s="9" t="n">
        <f aca="false">D22-$C$4</f>
        <v>0.400000000000006</v>
      </c>
      <c r="K22" s="9" t="n">
        <f aca="false">E22-$C$5</f>
        <v>-0.390000000000001</v>
      </c>
      <c r="L22" s="9" t="n">
        <f aca="false">F22-$C$5</f>
        <v>-0.609999999999999</v>
      </c>
      <c r="M22" s="9" t="n">
        <f aca="false">G22-$C$4</f>
        <v>0.25</v>
      </c>
      <c r="N22" s="9" t="n">
        <f aca="false">H22-$C$5</f>
        <v>-0.469999999999999</v>
      </c>
      <c r="O22" s="9" t="n">
        <f aca="false">I22-$C$5</f>
        <v>-1</v>
      </c>
      <c r="P22" s="10" t="n">
        <f aca="false">MAX(ABS(J22),ABS(K22),ABS(L22),ABS(M22),ABS(N22),ABS(O22))</f>
        <v>1</v>
      </c>
      <c r="Q22" s="11" t="str">
        <f aca="false">IF(P22&lt;=$C$6,"Pass","FAIL")</f>
        <v>Pass</v>
      </c>
    </row>
    <row r="23" customFormat="false" ht="15" hidden="false" customHeight="false" outlineLevel="0" collapsed="false">
      <c r="A23" s="7" t="n">
        <v>15</v>
      </c>
      <c r="B23" s="7" t="s">
        <v>33</v>
      </c>
      <c r="C23" s="7" t="s">
        <v>26</v>
      </c>
      <c r="D23" s="8" t="n">
        <v>150.45</v>
      </c>
      <c r="E23" s="8" t="n">
        <v>31.06</v>
      </c>
      <c r="F23" s="8" t="n">
        <v>31.04</v>
      </c>
      <c r="G23" s="8" t="n">
        <v>150.25</v>
      </c>
      <c r="H23" s="8" t="n">
        <v>31.57</v>
      </c>
      <c r="I23" s="8" t="n">
        <v>31.69</v>
      </c>
      <c r="J23" s="9" t="n">
        <f aca="false">D23-$C$4</f>
        <v>0.449999999999989</v>
      </c>
      <c r="K23" s="9" t="n">
        <f aca="false">E23-$C$5</f>
        <v>-0.940000000000001</v>
      </c>
      <c r="L23" s="9" t="n">
        <f aca="false">F23-$C$5</f>
        <v>-0.960000000000001</v>
      </c>
      <c r="M23" s="9" t="n">
        <f aca="false">G23-$C$4</f>
        <v>0.25</v>
      </c>
      <c r="N23" s="9" t="n">
        <f aca="false">H23-$C$5</f>
        <v>-0.43</v>
      </c>
      <c r="O23" s="9" t="n">
        <f aca="false">I23-$C$5</f>
        <v>-0.309999999999999</v>
      </c>
      <c r="P23" s="10" t="n">
        <f aca="false">MAX(ABS(J23),ABS(K23),ABS(L23),ABS(M23),ABS(N23),ABS(O23))</f>
        <v>0.960000000000001</v>
      </c>
      <c r="Q23" s="11" t="str">
        <f aca="false">IF(P23&lt;=$C$6,"Pass","FAIL")</f>
        <v>Pass</v>
      </c>
    </row>
    <row r="24" customFormat="false" ht="15" hidden="false" customHeight="false" outlineLevel="0" collapsed="false">
      <c r="A24" s="7" t="n">
        <v>16</v>
      </c>
      <c r="B24" s="7" t="s">
        <v>34</v>
      </c>
      <c r="C24" s="7" t="s">
        <v>26</v>
      </c>
      <c r="D24" s="8" t="n">
        <v>150.61</v>
      </c>
      <c r="E24" s="8" t="n">
        <v>31.24</v>
      </c>
      <c r="F24" s="8" t="n">
        <v>31.21</v>
      </c>
      <c r="G24" s="8" t="n">
        <v>149.65</v>
      </c>
      <c r="H24" s="8" t="n">
        <v>31.29</v>
      </c>
      <c r="I24" s="8" t="n">
        <v>31.81</v>
      </c>
      <c r="J24" s="9" t="n">
        <f aca="false">D24-$C$4</f>
        <v>0.610000000000014</v>
      </c>
      <c r="K24" s="9" t="n">
        <f aca="false">E24-$C$5</f>
        <v>-0.760000000000002</v>
      </c>
      <c r="L24" s="9" t="n">
        <f aca="false">F24-$C$5</f>
        <v>-0.789999999999999</v>
      </c>
      <c r="M24" s="9" t="n">
        <f aca="false">G24-$C$4</f>
        <v>-0.349999999999994</v>
      </c>
      <c r="N24" s="9" t="n">
        <f aca="false">H24-$C$5</f>
        <v>-0.710000000000001</v>
      </c>
      <c r="O24" s="9" t="n">
        <f aca="false">I24-$C$5</f>
        <v>-0.190000000000001</v>
      </c>
      <c r="P24" s="10" t="n">
        <f aca="false">MAX(ABS(J24),ABS(K24),ABS(L24),ABS(M24),ABS(N24),ABS(O24))</f>
        <v>0.789999999999999</v>
      </c>
      <c r="Q24" s="11" t="str">
        <f aca="false">IF(P24&lt;=$C$6,"Pass","FAIL")</f>
        <v>Pass</v>
      </c>
    </row>
    <row r="25" customFormat="false" ht="15" hidden="false" customHeight="false" outlineLevel="0" collapsed="false">
      <c r="A25" s="7" t="n">
        <v>17</v>
      </c>
      <c r="B25" s="7" t="s">
        <v>35</v>
      </c>
      <c r="C25" s="7" t="s">
        <v>26</v>
      </c>
      <c r="D25" s="8" t="n">
        <v>150.29</v>
      </c>
      <c r="E25" s="8" t="n">
        <v>31.09</v>
      </c>
      <c r="F25" s="8" t="n">
        <v>31.06</v>
      </c>
      <c r="G25" s="8" t="n">
        <v>149.43</v>
      </c>
      <c r="H25" s="8" t="n">
        <v>31.2</v>
      </c>
      <c r="I25" s="8" t="n">
        <v>31.16</v>
      </c>
      <c r="J25" s="9" t="n">
        <f aca="false">D25-$C$4</f>
        <v>0.289999999999992</v>
      </c>
      <c r="K25" s="9" t="n">
        <f aca="false">E25-$C$5</f>
        <v>-0.91</v>
      </c>
      <c r="L25" s="9" t="n">
        <f aca="false">F25-$C$5</f>
        <v>-0.940000000000001</v>
      </c>
      <c r="M25" s="9" t="n">
        <f aca="false">G25-$C$4</f>
        <v>-0.569999999999993</v>
      </c>
      <c r="N25" s="9" t="n">
        <f aca="false">H25-$C$5</f>
        <v>-0.800000000000001</v>
      </c>
      <c r="O25" s="9" t="n">
        <f aca="false">I25-$C$5</f>
        <v>-0.84</v>
      </c>
      <c r="P25" s="10" t="n">
        <f aca="false">MAX(ABS(J25),ABS(K25),ABS(L25),ABS(M25),ABS(N25),ABS(O25))</f>
        <v>0.940000000000001</v>
      </c>
      <c r="Q25" s="11" t="str">
        <f aca="false">IF(P25&lt;=$C$6,"Pass","FAIL")</f>
        <v>Pass</v>
      </c>
    </row>
    <row r="26" customFormat="false" ht="15" hidden="false" customHeight="false" outlineLevel="0" collapsed="false">
      <c r="A26" s="7" t="n">
        <v>18</v>
      </c>
      <c r="B26" s="7" t="s">
        <v>36</v>
      </c>
      <c r="C26" s="7" t="s">
        <v>37</v>
      </c>
      <c r="D26" s="8" t="n">
        <v>150.44</v>
      </c>
      <c r="E26" s="8" t="n">
        <v>31.43</v>
      </c>
      <c r="F26" s="8" t="n">
        <v>31.16</v>
      </c>
      <c r="G26" s="8" t="n">
        <v>150.77</v>
      </c>
      <c r="H26" s="8" t="n">
        <v>31.18</v>
      </c>
      <c r="I26" s="8" t="n">
        <v>31.42</v>
      </c>
      <c r="J26" s="9" t="n">
        <f aca="false">D26-$C$4</f>
        <v>0.439999999999998</v>
      </c>
      <c r="K26" s="9" t="n">
        <f aca="false">E26-$C$5</f>
        <v>-0.57</v>
      </c>
      <c r="L26" s="9" t="n">
        <f aca="false">F26-$C$5</f>
        <v>-0.84</v>
      </c>
      <c r="M26" s="9" t="n">
        <f aca="false">G26-$C$4</f>
        <v>0.77000000000001</v>
      </c>
      <c r="N26" s="9" t="n">
        <f aca="false">H26-$C$5</f>
        <v>-0.82</v>
      </c>
      <c r="O26" s="9" t="n">
        <f aca="false">I26-$C$5</f>
        <v>-0.579999999999998</v>
      </c>
      <c r="P26" s="10" t="n">
        <f aca="false">MAX(ABS(J26),ABS(K26),ABS(L26),ABS(M26),ABS(N26),ABS(O26))</f>
        <v>0.84</v>
      </c>
      <c r="Q26" s="11" t="str">
        <f aca="false">IF(P26&lt;=$C$6,"Pass","FAIL")</f>
        <v>Pass</v>
      </c>
    </row>
    <row r="27" customFormat="false" ht="15" hidden="false" customHeight="false" outlineLevel="0" collapsed="false">
      <c r="A27" s="7" t="n">
        <v>19</v>
      </c>
      <c r="B27" s="7" t="s">
        <v>38</v>
      </c>
      <c r="C27" s="7" t="s">
        <v>39</v>
      </c>
      <c r="D27" s="8" t="n">
        <v>150.17</v>
      </c>
      <c r="E27" s="8" t="n">
        <v>31.33</v>
      </c>
      <c r="F27" s="8" t="n">
        <v>31.87</v>
      </c>
      <c r="G27" s="8" t="n">
        <v>149.99</v>
      </c>
      <c r="H27" s="8" t="n">
        <v>31.33</v>
      </c>
      <c r="I27" s="8" t="n">
        <v>31.29</v>
      </c>
      <c r="J27" s="9" t="n">
        <f aca="false">D27-$C$4</f>
        <v>0.169999999999988</v>
      </c>
      <c r="K27" s="9" t="n">
        <f aca="false">E27-$C$5</f>
        <v>-0.670000000000002</v>
      </c>
      <c r="L27" s="9" t="n">
        <f aca="false">F27-$C$5</f>
        <v>-0.129999999999999</v>
      </c>
      <c r="M27" s="9" t="n">
        <f aca="false">G27-$C$4</f>
        <v>-0.00999999999999091</v>
      </c>
      <c r="N27" s="9" t="n">
        <f aca="false">H27-$C$5</f>
        <v>-0.670000000000002</v>
      </c>
      <c r="O27" s="9" t="n">
        <f aca="false">I27-$C$5</f>
        <v>-0.710000000000001</v>
      </c>
      <c r="P27" s="10" t="n">
        <f aca="false">MAX(ABS(J27),ABS(K27),ABS(L27),ABS(M27),ABS(N27),ABS(O27))</f>
        <v>0.710000000000001</v>
      </c>
      <c r="Q27" s="11" t="str">
        <f aca="false">IF(P27&lt;=$C$6,"Pass","FAIL")</f>
        <v>Pass</v>
      </c>
    </row>
    <row r="29" customFormat="false" ht="15" hidden="false" customHeight="false" outlineLevel="0" collapsed="false">
      <c r="A29" s="3" t="s">
        <v>40</v>
      </c>
    </row>
    <row r="30" customFormat="false" ht="15" hidden="false" customHeight="false" outlineLevel="0" collapsed="false">
      <c r="A30" s="12" t="s">
        <v>41</v>
      </c>
      <c r="D30" s="13" t="n">
        <f aca="false">COUNTA(A9:A27)</f>
        <v>19</v>
      </c>
    </row>
    <row r="31" customFormat="false" ht="15" hidden="false" customHeight="false" outlineLevel="0" collapsed="false">
      <c r="A31" s="12" t="s">
        <v>42</v>
      </c>
      <c r="D31" s="13" t="n">
        <f aca="false">COUNTIF(Q9:Q27,"Pass")</f>
        <v>19</v>
      </c>
    </row>
    <row r="32" customFormat="false" ht="15" hidden="false" customHeight="false" outlineLevel="0" collapsed="false">
      <c r="A32" s="12" t="s">
        <v>43</v>
      </c>
      <c r="D32" s="13" t="n">
        <f aca="false">COUNTIF(Q9:Q27,"FAIL")</f>
        <v>0</v>
      </c>
    </row>
    <row r="33" customFormat="false" ht="15" hidden="false" customHeight="false" outlineLevel="0" collapsed="false">
      <c r="A33" s="12" t="s">
        <v>44</v>
      </c>
      <c r="D33" s="14" t="n">
        <f aca="false">MAX(P9:P27)</f>
        <v>1.72</v>
      </c>
    </row>
    <row r="34" customFormat="false" ht="15" hidden="false" customHeight="false" outlineLevel="0" collapsed="false">
      <c r="A34" s="12" t="s">
        <v>45</v>
      </c>
      <c r="D34" s="14" t="n">
        <f aca="false">MIN(D9:D27,G9:G27)</f>
        <v>149.33</v>
      </c>
    </row>
    <row r="35" customFormat="false" ht="15" hidden="false" customHeight="false" outlineLevel="0" collapsed="false">
      <c r="A35" s="12" t="s">
        <v>46</v>
      </c>
      <c r="D35" s="14" t="n">
        <f aca="false">MAX(D9:D27,G9:G27)</f>
        <v>151.4</v>
      </c>
    </row>
    <row r="36" customFormat="false" ht="15" hidden="false" customHeight="false" outlineLevel="0" collapsed="false">
      <c r="A36" s="12" t="s">
        <v>47</v>
      </c>
      <c r="D36" s="14" t="n">
        <f aca="false">MIN(E9:F27,H9:I27)</f>
        <v>30.28</v>
      </c>
    </row>
    <row r="37" customFormat="false" ht="15" hidden="false" customHeight="false" outlineLevel="0" collapsed="false">
      <c r="A37" s="12" t="s">
        <v>48</v>
      </c>
      <c r="D37" s="14" t="n">
        <f aca="false">MAX(E9:F27,H9:I27)</f>
        <v>32.45</v>
      </c>
    </row>
    <row r="39" customFormat="false" ht="15" hidden="false" customHeight="false" outlineLevel="0" collapsed="false">
      <c r="A39" s="5" t="s">
        <v>49</v>
      </c>
    </row>
  </sheetData>
  <mergeCells count="1">
    <mergeCell ref="A2:T2"/>
  </mergeCells>
  <conditionalFormatting sqref="Q9:Q27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7" min="5" style="0" width="22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50</v>
      </c>
    </row>
    <row r="3" customFormat="false" ht="42" hidden="false" customHeight="true" outlineLevel="0" collapsed="false">
      <c r="A3" s="2" t="s">
        <v>51</v>
      </c>
      <c r="B3" s="2"/>
      <c r="C3" s="2"/>
      <c r="D3" s="2"/>
      <c r="E3" s="2"/>
      <c r="F3" s="2"/>
      <c r="G3" s="2"/>
      <c r="H3" s="2"/>
      <c r="I3" s="2"/>
    </row>
    <row r="4" customFormat="false" ht="42" hidden="false" customHeight="true" outlineLevel="0" collapsed="false">
      <c r="A4" s="2" t="s">
        <v>52</v>
      </c>
      <c r="B4" s="2"/>
      <c r="C4" s="2"/>
      <c r="D4" s="2"/>
      <c r="E4" s="2"/>
      <c r="F4" s="2"/>
      <c r="G4" s="2"/>
      <c r="H4" s="2"/>
      <c r="I4" s="2"/>
    </row>
    <row r="5" customFormat="false" ht="42" hidden="false" customHeight="true" outlineLevel="0" collapsed="false">
      <c r="A5" s="2" t="s">
        <v>53</v>
      </c>
      <c r="B5" s="2"/>
      <c r="C5" s="2"/>
      <c r="D5" s="2"/>
      <c r="E5" s="2"/>
      <c r="F5" s="2"/>
      <c r="G5" s="2"/>
      <c r="H5" s="2"/>
      <c r="I5" s="2"/>
    </row>
    <row r="7" customFormat="false" ht="15" hidden="false" customHeight="false" outlineLevel="0" collapsed="false">
      <c r="A7" s="3" t="s">
        <v>54</v>
      </c>
    </row>
    <row r="8" customFormat="false" ht="23.85" hidden="false" customHeight="false" outlineLevel="0" collapsed="false">
      <c r="A8" s="6" t="s">
        <v>55</v>
      </c>
      <c r="B8" s="6" t="s">
        <v>56</v>
      </c>
      <c r="C8" s="6" t="s">
        <v>57</v>
      </c>
      <c r="D8" s="6" t="s">
        <v>58</v>
      </c>
      <c r="E8" s="6" t="s">
        <v>59</v>
      </c>
      <c r="F8" s="6" t="s">
        <v>60</v>
      </c>
    </row>
    <row r="9" customFormat="false" ht="15" hidden="false" customHeight="false" outlineLevel="0" collapsed="false">
      <c r="A9" s="15" t="s">
        <v>61</v>
      </c>
      <c r="B9" s="16" t="s">
        <v>62</v>
      </c>
      <c r="C9" s="17" t="n">
        <f aca="false">B30</f>
        <v>4.74999999999994</v>
      </c>
      <c r="D9" s="17" t="n">
        <f aca="false">D30</f>
        <v>1.22999999999999</v>
      </c>
      <c r="E9" s="17" t="n">
        <v>7.09</v>
      </c>
      <c r="F9" s="18" t="n">
        <f aca="false">1-C9/E9</f>
        <v>0.330042313117074</v>
      </c>
    </row>
    <row r="10" customFormat="false" ht="15" hidden="false" customHeight="false" outlineLevel="0" collapsed="false">
      <c r="A10" s="15" t="s">
        <v>63</v>
      </c>
      <c r="B10" s="16" t="s">
        <v>64</v>
      </c>
      <c r="C10" s="17" t="n">
        <f aca="false">B77</f>
        <v>0.949999999999999</v>
      </c>
      <c r="D10" s="17" t="n">
        <f aca="false">D77</f>
        <v>0.240000000000002</v>
      </c>
      <c r="E10" s="17" t="n">
        <v>3.85</v>
      </c>
      <c r="F10" s="18" t="n">
        <f aca="false">1-C10/E10</f>
        <v>0.753246753246754</v>
      </c>
    </row>
    <row r="11" customFormat="false" ht="15" hidden="false" customHeight="false" outlineLevel="0" collapsed="false">
      <c r="A11" s="15" t="s">
        <v>65</v>
      </c>
      <c r="B11" s="16" t="s">
        <v>66</v>
      </c>
      <c r="C11" s="17" t="n">
        <f aca="false">B124</f>
        <v>1.09000000000001</v>
      </c>
      <c r="D11" s="17" t="n">
        <f aca="false">D124</f>
        <v>0.290000000000003</v>
      </c>
      <c r="E11" s="17" t="n">
        <v>5.04</v>
      </c>
      <c r="F11" s="18" t="n">
        <f aca="false">1-C11/E11</f>
        <v>0.783730158730156</v>
      </c>
    </row>
    <row r="12" customFormat="false" ht="23.85" hidden="false" customHeight="false" outlineLevel="0" collapsed="false">
      <c r="A12" s="15" t="s">
        <v>67</v>
      </c>
      <c r="B12" s="16" t="s">
        <v>68</v>
      </c>
      <c r="C12" s="17" t="n">
        <f aca="false">B171</f>
        <v>5.19999999999991</v>
      </c>
      <c r="D12" s="17" t="n">
        <f aca="false">D171</f>
        <v>0.829999999999984</v>
      </c>
      <c r="E12" s="17" t="n">
        <v>9</v>
      </c>
      <c r="F12" s="18" t="n">
        <f aca="false">1-C12/E12</f>
        <v>0.422222222222232</v>
      </c>
    </row>
    <row r="13" customFormat="false" ht="15" hidden="false" customHeight="false" outlineLevel="0" collapsed="false">
      <c r="A13" s="5" t="s">
        <v>69</v>
      </c>
    </row>
    <row r="16" customFormat="false" ht="15" hidden="false" customHeight="false" outlineLevel="0" collapsed="false">
      <c r="A16" s="19" t="s">
        <v>70</v>
      </c>
    </row>
    <row r="17" customFormat="false" ht="15" hidden="false" customHeight="false" outlineLevel="0" collapsed="false">
      <c r="A17" s="3" t="s">
        <v>71</v>
      </c>
      <c r="B17" s="12" t="s">
        <v>62</v>
      </c>
    </row>
    <row r="18" customFormat="false" ht="15" hidden="false" customHeight="false" outlineLevel="0" collapsed="false">
      <c r="A18" s="6" t="s">
        <v>72</v>
      </c>
      <c r="B18" s="6" t="s">
        <v>6</v>
      </c>
      <c r="C18" s="6" t="s">
        <v>7</v>
      </c>
      <c r="D18" s="6" t="s">
        <v>73</v>
      </c>
      <c r="E18" s="6" t="s">
        <v>74</v>
      </c>
      <c r="F18" s="6" t="s">
        <v>75</v>
      </c>
    </row>
    <row r="19" customFormat="false" ht="15" hidden="false" customHeight="false" outlineLevel="0" collapsed="false">
      <c r="A19" s="7" t="n">
        <v>1</v>
      </c>
      <c r="B19" s="7" t="n">
        <v>10</v>
      </c>
      <c r="C19" s="7" t="str">
        <f aca="false">INDEX('Tolerance log'!$B$9:$B$27,MATCH(B19,'Tolerance log'!$A$9:$A$27,0))</f>
        <v>1739 03082026</v>
      </c>
      <c r="D19" s="7" t="str">
        <f aca="false">TEXT(INDEX('Tolerance log'!$G$9:$G$27,MATCH(B19,'Tolerance log'!$A$9:$A$27,0)),"0.00")&amp;" → "&amp;TEXT(INDEX('Tolerance log'!$D$9:$D$27,MATCH(E19,'Tolerance log'!$A$9:$A$27,0)),"0.00")</f>
        <v>150.70 → 151.04</v>
      </c>
      <c r="E19" s="7" t="n">
        <v>12</v>
      </c>
      <c r="F19" s="10" t="n">
        <f aca="false">ABS(INDEX('Tolerance log'!$G$9:$G$27,MATCH(B19,'Tolerance log'!$A$9:$A$27,0))-INDEX('Tolerance log'!$D$9:$D$27,MATCH(E19,'Tolerance log'!$A$9:$A$27,0)))</f>
        <v>0.340000000000003</v>
      </c>
      <c r="G19" s="7"/>
      <c r="H19" s="7"/>
    </row>
    <row r="20" customFormat="false" ht="15" hidden="false" customHeight="false" outlineLevel="0" collapsed="false">
      <c r="A20" s="7" t="n">
        <v>2</v>
      </c>
      <c r="B20" s="7" t="n">
        <v>12</v>
      </c>
      <c r="C20" s="7" t="str">
        <f aca="false">INDEX('Tolerance log'!$B$9:$B$27,MATCH(B20,'Tolerance log'!$A$9:$A$27,0))</f>
        <v>0741 030626</v>
      </c>
      <c r="D20" s="7" t="str">
        <f aca="false">TEXT(INDEX('Tolerance log'!$G$9:$G$27,MATCH(B20,'Tolerance log'!$A$9:$A$27,0)),"0.00")&amp;" → "&amp;TEXT(INDEX('Tolerance log'!$D$9:$D$27,MATCH(E20,'Tolerance log'!$A$9:$A$27,0)),"0.00")</f>
        <v>150.35 → 150.63</v>
      </c>
      <c r="E20" s="7" t="n">
        <v>7</v>
      </c>
      <c r="F20" s="10" t="n">
        <f aca="false">ABS(INDEX('Tolerance log'!$G$9:$G$27,MATCH(B20,'Tolerance log'!$A$9:$A$27,0))-INDEX('Tolerance log'!$D$9:$D$27,MATCH(E20,'Tolerance log'!$A$9:$A$27,0)))</f>
        <v>0.280000000000001</v>
      </c>
      <c r="G20" s="7"/>
      <c r="H20" s="7"/>
    </row>
    <row r="21" customFormat="false" ht="15" hidden="false" customHeight="false" outlineLevel="0" collapsed="false">
      <c r="A21" s="7" t="n">
        <v>3</v>
      </c>
      <c r="B21" s="7" t="n">
        <v>7</v>
      </c>
      <c r="C21" s="7" t="str">
        <f aca="false">INDEX('Tolerance log'!$B$9:$B$27,MATCH(B21,'Tolerance log'!$A$9:$A$27,0))</f>
        <v>1011 030626</v>
      </c>
      <c r="D21" s="7" t="str">
        <f aca="false">TEXT(INDEX('Tolerance log'!$G$9:$G$27,MATCH(B21,'Tolerance log'!$A$9:$A$27,0)),"0.00")&amp;" → "&amp;TEXT(INDEX('Tolerance log'!$D$9:$D$27,MATCH(E21,'Tolerance log'!$A$9:$A$27,0)),"0.00")</f>
        <v>149.46 → 150.69</v>
      </c>
      <c r="E21" s="7" t="n">
        <v>9</v>
      </c>
      <c r="F21" s="10" t="n">
        <f aca="false">ABS(INDEX('Tolerance log'!$G$9:$G$27,MATCH(B21,'Tolerance log'!$A$9:$A$27,0))-INDEX('Tolerance log'!$D$9:$D$27,MATCH(E21,'Tolerance log'!$A$9:$A$27,0)))</f>
        <v>1.22999999999999</v>
      </c>
      <c r="G21" s="7"/>
      <c r="H21" s="7"/>
    </row>
    <row r="22" customFormat="false" ht="15" hidden="false" customHeight="false" outlineLevel="0" collapsed="false">
      <c r="A22" s="7" t="n">
        <v>4</v>
      </c>
      <c r="B22" s="7" t="n">
        <v>9</v>
      </c>
      <c r="C22" s="7" t="str">
        <f aca="false">INDEX('Tolerance log'!$B$9:$B$27,MATCH(B22,'Tolerance log'!$A$9:$A$27,0))</f>
        <v>1830 03082026</v>
      </c>
      <c r="D22" s="7" t="str">
        <f aca="false">TEXT(INDEX('Tolerance log'!$G$9:$G$27,MATCH(B22,'Tolerance log'!$A$9:$A$27,0)),"0.00")&amp;" → "&amp;TEXT(INDEX('Tolerance log'!$D$9:$D$27,MATCH(E22,'Tolerance log'!$A$9:$A$27,0)),"0.00")</f>
        <v>149.49 → 150.25</v>
      </c>
      <c r="E22" s="7" t="n">
        <v>11</v>
      </c>
      <c r="F22" s="10" t="n">
        <f aca="false">ABS(INDEX('Tolerance log'!$G$9:$G$27,MATCH(B22,'Tolerance log'!$A$9:$A$27,0))-INDEX('Tolerance log'!$D$9:$D$27,MATCH(E22,'Tolerance log'!$A$9:$A$27,0)))</f>
        <v>0.759999999999991</v>
      </c>
      <c r="G22" s="7"/>
      <c r="H22" s="7"/>
    </row>
    <row r="23" customFormat="false" ht="15" hidden="false" customHeight="false" outlineLevel="0" collapsed="false">
      <c r="A23" s="7" t="n">
        <v>5</v>
      </c>
      <c r="B23" s="7" t="n">
        <v>11</v>
      </c>
      <c r="C23" s="7" t="str">
        <f aca="false">INDEX('Tolerance log'!$B$9:$B$27,MATCH(B23,'Tolerance log'!$A$9:$A$27,0))</f>
        <v>1739 03082026</v>
      </c>
      <c r="D23" s="7" t="str">
        <f aca="false">TEXT(INDEX('Tolerance log'!$G$9:$G$27,MATCH(B23,'Tolerance log'!$A$9:$A$27,0)),"0.00")&amp;" → "&amp;TEXT(INDEX('Tolerance log'!$D$9:$D$27,MATCH(E23,'Tolerance log'!$A$9:$A$27,0)),"0.00")</f>
        <v>150.11 → 150.40</v>
      </c>
      <c r="E23" s="7" t="n">
        <v>14</v>
      </c>
      <c r="F23" s="10" t="n">
        <f aca="false">ABS(INDEX('Tolerance log'!$G$9:$G$27,MATCH(B23,'Tolerance log'!$A$9:$A$27,0))-INDEX('Tolerance log'!$D$9:$D$27,MATCH(E23,'Tolerance log'!$A$9:$A$27,0)))</f>
        <v>0.289999999999992</v>
      </c>
      <c r="G23" s="7"/>
      <c r="H23" s="7"/>
    </row>
    <row r="24" customFormat="false" ht="15" hidden="false" customHeight="false" outlineLevel="0" collapsed="false">
      <c r="A24" s="7" t="n">
        <v>6</v>
      </c>
      <c r="B24" s="7" t="n">
        <v>14</v>
      </c>
      <c r="C24" s="7" t="str">
        <f aca="false">INDEX('Tolerance log'!$B$9:$B$27,MATCH(B24,'Tolerance log'!$A$9:$A$27,0))</f>
        <v>1012 030626</v>
      </c>
      <c r="D24" s="7" t="str">
        <f aca="false">TEXT(INDEX('Tolerance log'!$G$9:$G$27,MATCH(B24,'Tolerance log'!$A$9:$A$27,0)),"0.00")&amp;" → "&amp;TEXT(INDEX('Tolerance log'!$D$9:$D$27,MATCH(E24,'Tolerance log'!$A$9:$A$27,0)),"0.00")</f>
        <v>150.25 → 150.45</v>
      </c>
      <c r="E24" s="7" t="n">
        <v>15</v>
      </c>
      <c r="F24" s="10" t="n">
        <f aca="false">ABS(INDEX('Tolerance log'!$G$9:$G$27,MATCH(B24,'Tolerance log'!$A$9:$A$27,0))-INDEX('Tolerance log'!$D$9:$D$27,MATCH(E24,'Tolerance log'!$A$9:$A$27,0)))</f>
        <v>0.199999999999989</v>
      </c>
      <c r="G24" s="7"/>
      <c r="H24" s="7"/>
    </row>
    <row r="25" customFormat="false" ht="15" hidden="false" customHeight="false" outlineLevel="0" collapsed="false">
      <c r="A25" s="7" t="n">
        <v>7</v>
      </c>
      <c r="B25" s="7" t="n">
        <v>15</v>
      </c>
      <c r="C25" s="7" t="str">
        <f aca="false">INDEX('Tolerance log'!$B$9:$B$27,MATCH(B25,'Tolerance log'!$A$9:$A$27,0))</f>
        <v>1020 030626</v>
      </c>
      <c r="D25" s="7" t="str">
        <f aca="false">TEXT(INDEX('Tolerance log'!$G$9:$G$27,MATCH(B25,'Tolerance log'!$A$9:$A$27,0)),"0.00")&amp;" → "&amp;TEXT(INDEX('Tolerance log'!$D$9:$D$27,MATCH(E25,'Tolerance log'!$A$9:$A$27,0)),"0.00")</f>
        <v>150.25 → 150.61</v>
      </c>
      <c r="E25" s="7" t="n">
        <v>16</v>
      </c>
      <c r="F25" s="10" t="n">
        <f aca="false">ABS(INDEX('Tolerance log'!$G$9:$G$27,MATCH(B25,'Tolerance log'!$A$9:$A$27,0))-INDEX('Tolerance log'!$D$9:$D$27,MATCH(E25,'Tolerance log'!$A$9:$A$27,0)))</f>
        <v>0.360000000000014</v>
      </c>
      <c r="G25" s="7"/>
      <c r="H25" s="7"/>
    </row>
    <row r="26" customFormat="false" ht="15" hidden="false" customHeight="false" outlineLevel="0" collapsed="false">
      <c r="A26" s="7" t="n">
        <v>8</v>
      </c>
      <c r="B26" s="7" t="n">
        <v>16</v>
      </c>
      <c r="C26" s="7" t="str">
        <f aca="false">INDEX('Tolerance log'!$B$9:$B$27,MATCH(B26,'Tolerance log'!$A$9:$A$27,0))</f>
        <v>1025 030626</v>
      </c>
      <c r="D26" s="7" t="str">
        <f aca="false">TEXT(INDEX('Tolerance log'!$G$9:$G$27,MATCH(B26,'Tolerance log'!$A$9:$A$27,0)),"0.00")&amp;" → "&amp;TEXT(INDEX('Tolerance log'!$D$9:$D$27,MATCH(E26,'Tolerance log'!$A$9:$A$27,0)),"0.00")</f>
        <v>149.65 → 149.72</v>
      </c>
      <c r="E26" s="7" t="n">
        <v>13</v>
      </c>
      <c r="F26" s="10" t="n">
        <f aca="false">ABS(INDEX('Tolerance log'!$G$9:$G$27,MATCH(B26,'Tolerance log'!$A$9:$A$27,0))-INDEX('Tolerance log'!$D$9:$D$27,MATCH(E26,'Tolerance log'!$A$9:$A$27,0)))</f>
        <v>0.0699999999999932</v>
      </c>
      <c r="G26" s="7"/>
      <c r="H26" s="7"/>
    </row>
    <row r="27" customFormat="false" ht="15" hidden="false" customHeight="false" outlineLevel="0" collapsed="false">
      <c r="A27" s="7" t="n">
        <v>9</v>
      </c>
      <c r="B27" s="7" t="n">
        <v>13</v>
      </c>
      <c r="C27" s="7" t="str">
        <f aca="false">INDEX('Tolerance log'!$B$9:$B$27,MATCH(B27,'Tolerance log'!$A$9:$A$27,0))</f>
        <v>1029 030626</v>
      </c>
      <c r="D27" s="7" t="str">
        <f aca="false">TEXT(INDEX('Tolerance log'!$G$9:$G$27,MATCH(B27,'Tolerance log'!$A$9:$A$27,0)),"0.00")&amp;" → "&amp;TEXT(INDEX('Tolerance log'!$D$9:$D$27,MATCH(E27,'Tolerance log'!$A$9:$A$27,0)),"0.00")</f>
        <v>150.28 → 150.29</v>
      </c>
      <c r="E27" s="7" t="n">
        <v>17</v>
      </c>
      <c r="F27" s="10" t="n">
        <f aca="false">ABS(INDEX('Tolerance log'!$G$9:$G$27,MATCH(B27,'Tolerance log'!$A$9:$A$27,0))-INDEX('Tolerance log'!$D$9:$D$27,MATCH(E27,'Tolerance log'!$A$9:$A$27,0)))</f>
        <v>0.00999999999999091</v>
      </c>
      <c r="G27" s="7"/>
      <c r="H27" s="7"/>
    </row>
    <row r="28" customFormat="false" ht="15" hidden="false" customHeight="false" outlineLevel="0" collapsed="false">
      <c r="A28" s="7" t="n">
        <v>10</v>
      </c>
      <c r="B28" s="7" t="n">
        <v>17</v>
      </c>
      <c r="C28" s="7" t="str">
        <f aca="false">INDEX('Tolerance log'!$B$9:$B$27,MATCH(B28,'Tolerance log'!$A$9:$A$27,0))</f>
        <v>1018 030626</v>
      </c>
      <c r="D28" s="7" t="str">
        <f aca="false">TEXT(INDEX('Tolerance log'!$G$9:$G$27,MATCH(B28,'Tolerance log'!$A$9:$A$27,0)),"0.00")&amp;" → "&amp;TEXT(INDEX('Tolerance log'!$D$9:$D$27,MATCH(E28,'Tolerance log'!$A$9:$A$27,0)),"0.00")</f>
        <v>149.43 → 150.64</v>
      </c>
      <c r="E28" s="7" t="n">
        <v>8</v>
      </c>
      <c r="F28" s="10" t="n">
        <f aca="false">ABS(INDEX('Tolerance log'!$G$9:$G$27,MATCH(B28,'Tolerance log'!$A$9:$A$27,0))-INDEX('Tolerance log'!$D$9:$D$27,MATCH(E28,'Tolerance log'!$A$9:$A$27,0)))</f>
        <v>1.20999999999998</v>
      </c>
      <c r="G28" s="7"/>
      <c r="H28" s="7"/>
    </row>
    <row r="29" customFormat="false" ht="15" hidden="false" customHeight="false" outlineLevel="0" collapsed="false">
      <c r="A29" s="7" t="n">
        <v>11</v>
      </c>
      <c r="B29" s="7" t="n">
        <v>8</v>
      </c>
      <c r="C29" s="7" t="str">
        <f aca="false">INDEX('Tolerance log'!$B$9:$B$27,MATCH(B29,'Tolerance log'!$A$9:$A$27,0))</f>
        <v>1008 030626</v>
      </c>
      <c r="D29" s="7" t="s">
        <v>76</v>
      </c>
      <c r="E29" s="7"/>
      <c r="F29" s="7"/>
      <c r="G29" s="7"/>
      <c r="H29" s="7"/>
    </row>
    <row r="30" customFormat="false" ht="15" hidden="false" customHeight="false" outlineLevel="0" collapsed="false">
      <c r="A30" s="3" t="s">
        <v>77</v>
      </c>
      <c r="B30" s="14" t="n">
        <f aca="false">SUM(F19:F28)</f>
        <v>4.74999999999994</v>
      </c>
      <c r="C30" s="3" t="s">
        <v>78</v>
      </c>
      <c r="D30" s="14" t="n">
        <f aca="false">MAX(F19:F28)</f>
        <v>1.22999999999999</v>
      </c>
    </row>
    <row r="32" customFormat="false" ht="15" hidden="false" customHeight="false" outlineLevel="0" collapsed="false">
      <c r="A32" s="3" t="s">
        <v>79</v>
      </c>
      <c r="B32" s="12" t="s">
        <v>80</v>
      </c>
    </row>
    <row r="33" customFormat="false" ht="15" hidden="false" customHeight="false" outlineLevel="0" collapsed="false">
      <c r="A33" s="6" t="s">
        <v>72</v>
      </c>
      <c r="B33" s="6" t="s">
        <v>6</v>
      </c>
      <c r="C33" s="6" t="s">
        <v>7</v>
      </c>
      <c r="D33" s="6" t="s">
        <v>73</v>
      </c>
      <c r="E33" s="6" t="s">
        <v>74</v>
      </c>
      <c r="F33" s="6" t="s">
        <v>75</v>
      </c>
    </row>
    <row r="34" customFormat="false" ht="15" hidden="false" customHeight="false" outlineLevel="0" collapsed="false">
      <c r="A34" s="7" t="n">
        <v>1</v>
      </c>
      <c r="B34" s="7" t="n">
        <v>10</v>
      </c>
      <c r="C34" s="7" t="str">
        <f aca="false">INDEX('Tolerance log'!$B$9:$B$27,MATCH(B34,'Tolerance log'!$A$9:$A$27,0))</f>
        <v>1739 03082026</v>
      </c>
      <c r="D34" s="7" t="str">
        <f aca="false">TEXT(INDEX('Tolerance log'!$G$9:$G$27,MATCH(B34,'Tolerance log'!$A$9:$A$27,0)),"0.00")&amp;" → "&amp;TEXT(INDEX('Tolerance log'!$D$9:$D$27,MATCH(E34,'Tolerance log'!$A$9:$A$27,0)),"0.00")</f>
        <v>150.70 → 151.04</v>
      </c>
      <c r="E34" s="7" t="n">
        <v>12</v>
      </c>
      <c r="F34" s="10" t="n">
        <f aca="false">ABS(INDEX('Tolerance log'!$G$9:$G$27,MATCH(B34,'Tolerance log'!$A$9:$A$27,0))-INDEX('Tolerance log'!$D$9:$D$27,MATCH(E34,'Tolerance log'!$A$9:$A$27,0)))</f>
        <v>0.340000000000003</v>
      </c>
      <c r="G34" s="7"/>
      <c r="H34" s="7"/>
    </row>
    <row r="35" customFormat="false" ht="15" hidden="false" customHeight="false" outlineLevel="0" collapsed="false">
      <c r="A35" s="7" t="n">
        <v>2</v>
      </c>
      <c r="B35" s="7" t="n">
        <v>12</v>
      </c>
      <c r="C35" s="7" t="str">
        <f aca="false">INDEX('Tolerance log'!$B$9:$B$27,MATCH(B35,'Tolerance log'!$A$9:$A$27,0))</f>
        <v>0741 030626</v>
      </c>
      <c r="D35" s="7" t="str">
        <f aca="false">TEXT(INDEX('Tolerance log'!$G$9:$G$27,MATCH(B35,'Tolerance log'!$A$9:$A$27,0)),"0.00")&amp;" → "&amp;TEXT(INDEX('Tolerance log'!$D$9:$D$27,MATCH(E35,'Tolerance log'!$A$9:$A$27,0)),"0.00")</f>
        <v>150.35 → 150.63</v>
      </c>
      <c r="E35" s="7" t="n">
        <v>7</v>
      </c>
      <c r="F35" s="10" t="n">
        <f aca="false">ABS(INDEX('Tolerance log'!$G$9:$G$27,MATCH(B35,'Tolerance log'!$A$9:$A$27,0))-INDEX('Tolerance log'!$D$9:$D$27,MATCH(E35,'Tolerance log'!$A$9:$A$27,0)))</f>
        <v>0.280000000000001</v>
      </c>
      <c r="G35" s="7"/>
      <c r="H35" s="7"/>
    </row>
    <row r="36" customFormat="false" ht="15" hidden="false" customHeight="false" outlineLevel="0" collapsed="false">
      <c r="A36" s="7" t="n">
        <v>3</v>
      </c>
      <c r="B36" s="7" t="n">
        <v>7</v>
      </c>
      <c r="C36" s="7" t="str">
        <f aca="false">INDEX('Tolerance log'!$B$9:$B$27,MATCH(B36,'Tolerance log'!$A$9:$A$27,0))</f>
        <v>1011 030626</v>
      </c>
      <c r="D36" s="7" t="str">
        <f aca="false">TEXT(INDEX('Tolerance log'!$G$9:$G$27,MATCH(B36,'Tolerance log'!$A$9:$A$27,0)),"0.00")&amp;" → "&amp;TEXT(INDEX('Tolerance log'!$D$9:$D$27,MATCH(E36,'Tolerance log'!$A$9:$A$27,0)),"0.00")</f>
        <v>149.46 → 150.69</v>
      </c>
      <c r="E36" s="7" t="n">
        <v>9</v>
      </c>
      <c r="F36" s="10" t="n">
        <f aca="false">ABS(INDEX('Tolerance log'!$G$9:$G$27,MATCH(B36,'Tolerance log'!$A$9:$A$27,0))-INDEX('Tolerance log'!$D$9:$D$27,MATCH(E36,'Tolerance log'!$A$9:$A$27,0)))</f>
        <v>1.22999999999999</v>
      </c>
      <c r="G36" s="7"/>
      <c r="H36" s="7"/>
    </row>
    <row r="37" customFormat="false" ht="15" hidden="false" customHeight="false" outlineLevel="0" collapsed="false">
      <c r="A37" s="7" t="n">
        <v>4</v>
      </c>
      <c r="B37" s="7" t="n">
        <v>9</v>
      </c>
      <c r="C37" s="7" t="str">
        <f aca="false">INDEX('Tolerance log'!$B$9:$B$27,MATCH(B37,'Tolerance log'!$A$9:$A$27,0))</f>
        <v>1830 03082026</v>
      </c>
      <c r="D37" s="7" t="str">
        <f aca="false">TEXT(INDEX('Tolerance log'!$G$9:$G$27,MATCH(B37,'Tolerance log'!$A$9:$A$27,0)),"0.00")&amp;" → "&amp;TEXT(INDEX('Tolerance log'!$D$9:$D$27,MATCH(E37,'Tolerance log'!$A$9:$A$27,0)),"0.00")</f>
        <v>149.49 → 150.25</v>
      </c>
      <c r="E37" s="7" t="n">
        <v>11</v>
      </c>
      <c r="F37" s="10" t="n">
        <f aca="false">ABS(INDEX('Tolerance log'!$G$9:$G$27,MATCH(B37,'Tolerance log'!$A$9:$A$27,0))-INDEX('Tolerance log'!$D$9:$D$27,MATCH(E37,'Tolerance log'!$A$9:$A$27,0)))</f>
        <v>0.759999999999991</v>
      </c>
      <c r="G37" s="7"/>
      <c r="H37" s="7"/>
    </row>
    <row r="38" customFormat="false" ht="15" hidden="false" customHeight="false" outlineLevel="0" collapsed="false">
      <c r="A38" s="7" t="n">
        <v>5</v>
      </c>
      <c r="B38" s="7" t="n">
        <v>11</v>
      </c>
      <c r="C38" s="7" t="str">
        <f aca="false">INDEX('Tolerance log'!$B$9:$B$27,MATCH(B38,'Tolerance log'!$A$9:$A$27,0))</f>
        <v>1739 03082026</v>
      </c>
      <c r="D38" s="7" t="str">
        <f aca="false">TEXT(INDEX('Tolerance log'!$G$9:$G$27,MATCH(B38,'Tolerance log'!$A$9:$A$27,0)),"0.00")&amp;" → "&amp;TEXT(INDEX('Tolerance log'!$D$9:$D$27,MATCH(E38,'Tolerance log'!$A$9:$A$27,0)),"0.00")</f>
        <v>150.11 → 150.40</v>
      </c>
      <c r="E38" s="7" t="n">
        <v>14</v>
      </c>
      <c r="F38" s="10" t="n">
        <f aca="false">ABS(INDEX('Tolerance log'!$G$9:$G$27,MATCH(B38,'Tolerance log'!$A$9:$A$27,0))-INDEX('Tolerance log'!$D$9:$D$27,MATCH(E38,'Tolerance log'!$A$9:$A$27,0)))</f>
        <v>0.289999999999992</v>
      </c>
      <c r="G38" s="7"/>
      <c r="H38" s="7"/>
    </row>
    <row r="39" customFormat="false" ht="15" hidden="false" customHeight="false" outlineLevel="0" collapsed="false">
      <c r="A39" s="7" t="n">
        <v>6</v>
      </c>
      <c r="B39" s="7" t="n">
        <v>14</v>
      </c>
      <c r="C39" s="7" t="str">
        <f aca="false">INDEX('Tolerance log'!$B$9:$B$27,MATCH(B39,'Tolerance log'!$A$9:$A$27,0))</f>
        <v>1012 030626</v>
      </c>
      <c r="D39" s="7" t="str">
        <f aca="false">TEXT(INDEX('Tolerance log'!$G$9:$G$27,MATCH(B39,'Tolerance log'!$A$9:$A$27,0)),"0.00")&amp;" → "&amp;TEXT(INDEX('Tolerance log'!$D$9:$D$27,MATCH(E39,'Tolerance log'!$A$9:$A$27,0)),"0.00")</f>
        <v>150.25 → 150.45</v>
      </c>
      <c r="E39" s="7" t="n">
        <v>15</v>
      </c>
      <c r="F39" s="10" t="n">
        <f aca="false">ABS(INDEX('Tolerance log'!$G$9:$G$27,MATCH(B39,'Tolerance log'!$A$9:$A$27,0))-INDEX('Tolerance log'!$D$9:$D$27,MATCH(E39,'Tolerance log'!$A$9:$A$27,0)))</f>
        <v>0.199999999999989</v>
      </c>
      <c r="G39" s="7"/>
      <c r="H39" s="7"/>
    </row>
    <row r="40" customFormat="false" ht="15" hidden="false" customHeight="false" outlineLevel="0" collapsed="false">
      <c r="A40" s="7" t="n">
        <v>7</v>
      </c>
      <c r="B40" s="7" t="n">
        <v>15</v>
      </c>
      <c r="C40" s="7" t="str">
        <f aca="false">INDEX('Tolerance log'!$B$9:$B$27,MATCH(B40,'Tolerance log'!$A$9:$A$27,0))</f>
        <v>1020 030626</v>
      </c>
      <c r="D40" s="7" t="str">
        <f aca="false">TEXT(INDEX('Tolerance log'!$G$9:$G$27,MATCH(B40,'Tolerance log'!$A$9:$A$27,0)),"0.00")&amp;" → "&amp;TEXT(INDEX('Tolerance log'!$D$9:$D$27,MATCH(E40,'Tolerance log'!$A$9:$A$27,0)),"0.00")</f>
        <v>150.25 → 150.61</v>
      </c>
      <c r="E40" s="7" t="n">
        <v>16</v>
      </c>
      <c r="F40" s="10" t="n">
        <f aca="false">ABS(INDEX('Tolerance log'!$G$9:$G$27,MATCH(B40,'Tolerance log'!$A$9:$A$27,0))-INDEX('Tolerance log'!$D$9:$D$27,MATCH(E40,'Tolerance log'!$A$9:$A$27,0)))</f>
        <v>0.360000000000014</v>
      </c>
      <c r="G40" s="7"/>
      <c r="H40" s="7"/>
    </row>
    <row r="41" customFormat="false" ht="15" hidden="false" customHeight="false" outlineLevel="0" collapsed="false">
      <c r="A41" s="7" t="n">
        <v>8</v>
      </c>
      <c r="B41" s="7" t="n">
        <v>16</v>
      </c>
      <c r="C41" s="7" t="str">
        <f aca="false">INDEX('Tolerance log'!$B$9:$B$27,MATCH(B41,'Tolerance log'!$A$9:$A$27,0))</f>
        <v>1025 030626</v>
      </c>
      <c r="D41" s="7" t="str">
        <f aca="false">TEXT(INDEX('Tolerance log'!$G$9:$G$27,MATCH(B41,'Tolerance log'!$A$9:$A$27,0)),"0.00")&amp;" → "&amp;TEXT(INDEX('Tolerance log'!$D$9:$D$27,MATCH(E41,'Tolerance log'!$A$9:$A$27,0)),"0.00")</f>
        <v>149.65 → 150.29</v>
      </c>
      <c r="E41" s="7" t="n">
        <v>17</v>
      </c>
      <c r="F41" s="10" t="n">
        <f aca="false">ABS(INDEX('Tolerance log'!$G$9:$G$27,MATCH(B41,'Tolerance log'!$A$9:$A$27,0))-INDEX('Tolerance log'!$D$9:$D$27,MATCH(E41,'Tolerance log'!$A$9:$A$27,0)))</f>
        <v>0.639999999999986</v>
      </c>
      <c r="G41" s="7"/>
      <c r="H41" s="7"/>
    </row>
    <row r="42" customFormat="false" ht="15" hidden="false" customHeight="false" outlineLevel="0" collapsed="false">
      <c r="A42" s="7" t="n">
        <v>9</v>
      </c>
      <c r="B42" s="7" t="n">
        <v>17</v>
      </c>
      <c r="C42" s="7" t="str">
        <f aca="false">INDEX('Tolerance log'!$B$9:$B$27,MATCH(B42,'Tolerance log'!$A$9:$A$27,0))</f>
        <v>1018 030626</v>
      </c>
      <c r="D42" s="7" t="str">
        <f aca="false">TEXT(INDEX('Tolerance log'!$G$9:$G$27,MATCH(B42,'Tolerance log'!$A$9:$A$27,0)),"0.00")&amp;" → "&amp;TEXT(INDEX('Tolerance log'!$D$9:$D$27,MATCH(E42,'Tolerance log'!$A$9:$A$27,0)),"0.00")</f>
        <v>149.43 → 149.72</v>
      </c>
      <c r="E42" s="7" t="n">
        <v>13</v>
      </c>
      <c r="F42" s="10" t="n">
        <f aca="false">ABS(INDEX('Tolerance log'!$G$9:$G$27,MATCH(B42,'Tolerance log'!$A$9:$A$27,0))-INDEX('Tolerance log'!$D$9:$D$27,MATCH(E42,'Tolerance log'!$A$9:$A$27,0)))</f>
        <v>0.289999999999992</v>
      </c>
      <c r="G42" s="7"/>
      <c r="H42" s="7"/>
    </row>
    <row r="43" customFormat="false" ht="15" hidden="false" customHeight="false" outlineLevel="0" collapsed="false">
      <c r="A43" s="7" t="n">
        <v>10</v>
      </c>
      <c r="B43" s="7" t="n">
        <v>13</v>
      </c>
      <c r="C43" s="7" t="str">
        <f aca="false">INDEX('Tolerance log'!$B$9:$B$27,MATCH(B43,'Tolerance log'!$A$9:$A$27,0))</f>
        <v>1029 030626</v>
      </c>
      <c r="D43" s="7" t="str">
        <f aca="false">TEXT(INDEX('Tolerance log'!$G$9:$G$27,MATCH(B43,'Tolerance log'!$A$9:$A$27,0)),"0.00")&amp;" → "&amp;TEXT(INDEX('Tolerance log'!$D$9:$D$27,MATCH(E43,'Tolerance log'!$A$9:$A$27,0)),"0.00")</f>
        <v>150.28 → 150.64</v>
      </c>
      <c r="E43" s="7" t="n">
        <v>8</v>
      </c>
      <c r="F43" s="10" t="n">
        <f aca="false">ABS(INDEX('Tolerance log'!$G$9:$G$27,MATCH(B43,'Tolerance log'!$A$9:$A$27,0))-INDEX('Tolerance log'!$D$9:$D$27,MATCH(E43,'Tolerance log'!$A$9:$A$27,0)))</f>
        <v>0.359999999999985</v>
      </c>
      <c r="G43" s="7"/>
      <c r="H43" s="7"/>
    </row>
    <row r="44" customFormat="false" ht="15" hidden="false" customHeight="false" outlineLevel="0" collapsed="false">
      <c r="A44" s="7" t="n">
        <v>11</v>
      </c>
      <c r="B44" s="7" t="n">
        <v>8</v>
      </c>
      <c r="C44" s="7" t="str">
        <f aca="false">INDEX('Tolerance log'!$B$9:$B$27,MATCH(B44,'Tolerance log'!$A$9:$A$27,0))</f>
        <v>1008 030626</v>
      </c>
      <c r="D44" s="7" t="s">
        <v>76</v>
      </c>
      <c r="E44" s="7"/>
      <c r="F44" s="7"/>
      <c r="G44" s="7"/>
      <c r="H44" s="7"/>
    </row>
    <row r="45" customFormat="false" ht="15" hidden="false" customHeight="false" outlineLevel="0" collapsed="false">
      <c r="A45" s="3" t="s">
        <v>77</v>
      </c>
      <c r="B45" s="14" t="n">
        <f aca="false">SUM(F34:F43)</f>
        <v>4.74999999999994</v>
      </c>
      <c r="C45" s="3" t="s">
        <v>78</v>
      </c>
      <c r="D45" s="14" t="n">
        <f aca="false">MAX(F34:F43)</f>
        <v>1.22999999999999</v>
      </c>
    </row>
    <row r="47" customFormat="false" ht="15" hidden="false" customHeight="false" outlineLevel="0" collapsed="false">
      <c r="A47" s="3" t="s">
        <v>81</v>
      </c>
      <c r="B47" s="12" t="s">
        <v>82</v>
      </c>
    </row>
    <row r="48" customFormat="false" ht="15" hidden="false" customHeight="false" outlineLevel="0" collapsed="false">
      <c r="A48" s="6" t="s">
        <v>72</v>
      </c>
      <c r="B48" s="6" t="s">
        <v>6</v>
      </c>
      <c r="C48" s="6" t="s">
        <v>7</v>
      </c>
      <c r="D48" s="6" t="s">
        <v>73</v>
      </c>
      <c r="E48" s="6" t="s">
        <v>74</v>
      </c>
      <c r="F48" s="6" t="s">
        <v>75</v>
      </c>
    </row>
    <row r="49" customFormat="false" ht="15" hidden="false" customHeight="false" outlineLevel="0" collapsed="false">
      <c r="A49" s="7" t="n">
        <v>1</v>
      </c>
      <c r="B49" s="7" t="n">
        <v>10</v>
      </c>
      <c r="C49" s="7" t="str">
        <f aca="false">INDEX('Tolerance log'!$B$9:$B$27,MATCH(B49,'Tolerance log'!$A$9:$A$27,0))</f>
        <v>1739 03082026</v>
      </c>
      <c r="D49" s="7" t="str">
        <f aca="false">TEXT(INDEX('Tolerance log'!$G$9:$G$27,MATCH(B49,'Tolerance log'!$A$9:$A$27,0)),"0.00")&amp;" → "&amp;TEXT(INDEX('Tolerance log'!$D$9:$D$27,MATCH(E49,'Tolerance log'!$A$9:$A$27,0)),"0.00")</f>
        <v>150.70 → 151.04</v>
      </c>
      <c r="E49" s="7" t="n">
        <v>12</v>
      </c>
      <c r="F49" s="10" t="n">
        <f aca="false">ABS(INDEX('Tolerance log'!$G$9:$G$27,MATCH(B49,'Tolerance log'!$A$9:$A$27,0))-INDEX('Tolerance log'!$D$9:$D$27,MATCH(E49,'Tolerance log'!$A$9:$A$27,0)))</f>
        <v>0.340000000000003</v>
      </c>
      <c r="G49" s="7"/>
      <c r="H49" s="7"/>
    </row>
    <row r="50" customFormat="false" ht="15" hidden="false" customHeight="false" outlineLevel="0" collapsed="false">
      <c r="A50" s="7" t="n">
        <v>2</v>
      </c>
      <c r="B50" s="7" t="n">
        <v>12</v>
      </c>
      <c r="C50" s="7" t="str">
        <f aca="false">INDEX('Tolerance log'!$B$9:$B$27,MATCH(B50,'Tolerance log'!$A$9:$A$27,0))</f>
        <v>0741 030626</v>
      </c>
      <c r="D50" s="7" t="str">
        <f aca="false">TEXT(INDEX('Tolerance log'!$G$9:$G$27,MATCH(B50,'Tolerance log'!$A$9:$A$27,0)),"0.00")&amp;" → "&amp;TEXT(INDEX('Tolerance log'!$D$9:$D$27,MATCH(E50,'Tolerance log'!$A$9:$A$27,0)),"0.00")</f>
        <v>150.35 → 150.63</v>
      </c>
      <c r="E50" s="7" t="n">
        <v>7</v>
      </c>
      <c r="F50" s="10" t="n">
        <f aca="false">ABS(INDEX('Tolerance log'!$G$9:$G$27,MATCH(B50,'Tolerance log'!$A$9:$A$27,0))-INDEX('Tolerance log'!$D$9:$D$27,MATCH(E50,'Tolerance log'!$A$9:$A$27,0)))</f>
        <v>0.280000000000001</v>
      </c>
      <c r="G50" s="7"/>
      <c r="H50" s="7"/>
    </row>
    <row r="51" customFormat="false" ht="15" hidden="false" customHeight="false" outlineLevel="0" collapsed="false">
      <c r="A51" s="7" t="n">
        <v>3</v>
      </c>
      <c r="B51" s="7" t="n">
        <v>7</v>
      </c>
      <c r="C51" s="7" t="str">
        <f aca="false">INDEX('Tolerance log'!$B$9:$B$27,MATCH(B51,'Tolerance log'!$A$9:$A$27,0))</f>
        <v>1011 030626</v>
      </c>
      <c r="D51" s="7" t="str">
        <f aca="false">TEXT(INDEX('Tolerance log'!$G$9:$G$27,MATCH(B51,'Tolerance log'!$A$9:$A$27,0)),"0.00")&amp;" → "&amp;TEXT(INDEX('Tolerance log'!$D$9:$D$27,MATCH(E51,'Tolerance log'!$A$9:$A$27,0)),"0.00")</f>
        <v>149.46 → 150.69</v>
      </c>
      <c r="E51" s="7" t="n">
        <v>9</v>
      </c>
      <c r="F51" s="10" t="n">
        <f aca="false">ABS(INDEX('Tolerance log'!$G$9:$G$27,MATCH(B51,'Tolerance log'!$A$9:$A$27,0))-INDEX('Tolerance log'!$D$9:$D$27,MATCH(E51,'Tolerance log'!$A$9:$A$27,0)))</f>
        <v>1.22999999999999</v>
      </c>
      <c r="G51" s="7"/>
      <c r="H51" s="7"/>
    </row>
    <row r="52" customFormat="false" ht="15" hidden="false" customHeight="false" outlineLevel="0" collapsed="false">
      <c r="A52" s="7" t="n">
        <v>4</v>
      </c>
      <c r="B52" s="7" t="n">
        <v>9</v>
      </c>
      <c r="C52" s="7" t="str">
        <f aca="false">INDEX('Tolerance log'!$B$9:$B$27,MATCH(B52,'Tolerance log'!$A$9:$A$27,0))</f>
        <v>1830 03082026</v>
      </c>
      <c r="D52" s="7" t="str">
        <f aca="false">TEXT(INDEX('Tolerance log'!$G$9:$G$27,MATCH(B52,'Tolerance log'!$A$9:$A$27,0)),"0.00")&amp;" → "&amp;TEXT(INDEX('Tolerance log'!$D$9:$D$27,MATCH(E52,'Tolerance log'!$A$9:$A$27,0)),"0.00")</f>
        <v>149.49 → 150.25</v>
      </c>
      <c r="E52" s="7" t="n">
        <v>11</v>
      </c>
      <c r="F52" s="10" t="n">
        <f aca="false">ABS(INDEX('Tolerance log'!$G$9:$G$27,MATCH(B52,'Tolerance log'!$A$9:$A$27,0))-INDEX('Tolerance log'!$D$9:$D$27,MATCH(E52,'Tolerance log'!$A$9:$A$27,0)))</f>
        <v>0.759999999999991</v>
      </c>
      <c r="G52" s="7"/>
      <c r="H52" s="7"/>
    </row>
    <row r="53" customFormat="false" ht="15" hidden="false" customHeight="false" outlineLevel="0" collapsed="false">
      <c r="A53" s="7" t="n">
        <v>5</v>
      </c>
      <c r="B53" s="7" t="n">
        <v>11</v>
      </c>
      <c r="C53" s="7" t="str">
        <f aca="false">INDEX('Tolerance log'!$B$9:$B$27,MATCH(B53,'Tolerance log'!$A$9:$A$27,0))</f>
        <v>1739 03082026</v>
      </c>
      <c r="D53" s="7" t="str">
        <f aca="false">TEXT(INDEX('Tolerance log'!$G$9:$G$27,MATCH(B53,'Tolerance log'!$A$9:$A$27,0)),"0.00")&amp;" → "&amp;TEXT(INDEX('Tolerance log'!$D$9:$D$27,MATCH(E53,'Tolerance log'!$A$9:$A$27,0)),"0.00")</f>
        <v>150.11 → 150.40</v>
      </c>
      <c r="E53" s="7" t="n">
        <v>14</v>
      </c>
      <c r="F53" s="10" t="n">
        <f aca="false">ABS(INDEX('Tolerance log'!$G$9:$G$27,MATCH(B53,'Tolerance log'!$A$9:$A$27,0))-INDEX('Tolerance log'!$D$9:$D$27,MATCH(E53,'Tolerance log'!$A$9:$A$27,0)))</f>
        <v>0.289999999999992</v>
      </c>
      <c r="G53" s="7"/>
      <c r="H53" s="7"/>
    </row>
    <row r="54" customFormat="false" ht="15" hidden="false" customHeight="false" outlineLevel="0" collapsed="false">
      <c r="A54" s="7" t="n">
        <v>6</v>
      </c>
      <c r="B54" s="7" t="n">
        <v>14</v>
      </c>
      <c r="C54" s="7" t="str">
        <f aca="false">INDEX('Tolerance log'!$B$9:$B$27,MATCH(B54,'Tolerance log'!$A$9:$A$27,0))</f>
        <v>1012 030626</v>
      </c>
      <c r="D54" s="7" t="str">
        <f aca="false">TEXT(INDEX('Tolerance log'!$G$9:$G$27,MATCH(B54,'Tolerance log'!$A$9:$A$27,0)),"0.00")&amp;" → "&amp;TEXT(INDEX('Tolerance log'!$D$9:$D$27,MATCH(E54,'Tolerance log'!$A$9:$A$27,0)),"0.00")</f>
        <v>150.25 → 150.45</v>
      </c>
      <c r="E54" s="7" t="n">
        <v>15</v>
      </c>
      <c r="F54" s="10" t="n">
        <f aca="false">ABS(INDEX('Tolerance log'!$G$9:$G$27,MATCH(B54,'Tolerance log'!$A$9:$A$27,0))-INDEX('Tolerance log'!$D$9:$D$27,MATCH(E54,'Tolerance log'!$A$9:$A$27,0)))</f>
        <v>0.199999999999989</v>
      </c>
      <c r="G54" s="7"/>
      <c r="H54" s="7"/>
    </row>
    <row r="55" customFormat="false" ht="15" hidden="false" customHeight="false" outlineLevel="0" collapsed="false">
      <c r="A55" s="7" t="n">
        <v>7</v>
      </c>
      <c r="B55" s="7" t="n">
        <v>15</v>
      </c>
      <c r="C55" s="7" t="str">
        <f aca="false">INDEX('Tolerance log'!$B$9:$B$27,MATCH(B55,'Tolerance log'!$A$9:$A$27,0))</f>
        <v>1020 030626</v>
      </c>
      <c r="D55" s="7" t="str">
        <f aca="false">TEXT(INDEX('Tolerance log'!$G$9:$G$27,MATCH(B55,'Tolerance log'!$A$9:$A$27,0)),"0.00")&amp;" → "&amp;TEXT(INDEX('Tolerance log'!$D$9:$D$27,MATCH(E55,'Tolerance log'!$A$9:$A$27,0)),"0.00")</f>
        <v>150.25 → 150.29</v>
      </c>
      <c r="E55" s="7" t="n">
        <v>17</v>
      </c>
      <c r="F55" s="10" t="n">
        <f aca="false">ABS(INDEX('Tolerance log'!$G$9:$G$27,MATCH(B55,'Tolerance log'!$A$9:$A$27,0))-INDEX('Tolerance log'!$D$9:$D$27,MATCH(E55,'Tolerance log'!$A$9:$A$27,0)))</f>
        <v>0.039999999999992</v>
      </c>
      <c r="G55" s="7"/>
      <c r="H55" s="7"/>
    </row>
    <row r="56" customFormat="false" ht="15" hidden="false" customHeight="false" outlineLevel="0" collapsed="false">
      <c r="A56" s="7" t="n">
        <v>8</v>
      </c>
      <c r="B56" s="7" t="n">
        <v>17</v>
      </c>
      <c r="C56" s="7" t="str">
        <f aca="false">INDEX('Tolerance log'!$B$9:$B$27,MATCH(B56,'Tolerance log'!$A$9:$A$27,0))</f>
        <v>1018 030626</v>
      </c>
      <c r="D56" s="7" t="str">
        <f aca="false">TEXT(INDEX('Tolerance log'!$G$9:$G$27,MATCH(B56,'Tolerance log'!$A$9:$A$27,0)),"0.00")&amp;" → "&amp;TEXT(INDEX('Tolerance log'!$D$9:$D$27,MATCH(E56,'Tolerance log'!$A$9:$A$27,0)),"0.00")</f>
        <v>149.43 → 149.72</v>
      </c>
      <c r="E56" s="7" t="n">
        <v>13</v>
      </c>
      <c r="F56" s="10" t="n">
        <f aca="false">ABS(INDEX('Tolerance log'!$G$9:$G$27,MATCH(B56,'Tolerance log'!$A$9:$A$27,0))-INDEX('Tolerance log'!$D$9:$D$27,MATCH(E56,'Tolerance log'!$A$9:$A$27,0)))</f>
        <v>0.289999999999992</v>
      </c>
      <c r="G56" s="7"/>
      <c r="H56" s="7"/>
    </row>
    <row r="57" customFormat="false" ht="15" hidden="false" customHeight="false" outlineLevel="0" collapsed="false">
      <c r="A57" s="7" t="n">
        <v>9</v>
      </c>
      <c r="B57" s="7" t="n">
        <v>13</v>
      </c>
      <c r="C57" s="7" t="str">
        <f aca="false">INDEX('Tolerance log'!$B$9:$B$27,MATCH(B57,'Tolerance log'!$A$9:$A$27,0))</f>
        <v>1029 030626</v>
      </c>
      <c r="D57" s="7" t="str">
        <f aca="false">TEXT(INDEX('Tolerance log'!$G$9:$G$27,MATCH(B57,'Tolerance log'!$A$9:$A$27,0)),"0.00")&amp;" → "&amp;TEXT(INDEX('Tolerance log'!$D$9:$D$27,MATCH(E57,'Tolerance log'!$A$9:$A$27,0)),"0.00")</f>
        <v>150.28 → 150.61</v>
      </c>
      <c r="E57" s="7" t="n">
        <v>16</v>
      </c>
      <c r="F57" s="10" t="n">
        <f aca="false">ABS(INDEX('Tolerance log'!$G$9:$G$27,MATCH(B57,'Tolerance log'!$A$9:$A$27,0))-INDEX('Tolerance log'!$D$9:$D$27,MATCH(E57,'Tolerance log'!$A$9:$A$27,0)))</f>
        <v>0.330000000000013</v>
      </c>
      <c r="G57" s="7"/>
      <c r="H57" s="7"/>
    </row>
    <row r="58" customFormat="false" ht="15" hidden="false" customHeight="false" outlineLevel="0" collapsed="false">
      <c r="A58" s="7" t="n">
        <v>10</v>
      </c>
      <c r="B58" s="7" t="n">
        <v>16</v>
      </c>
      <c r="C58" s="7" t="str">
        <f aca="false">INDEX('Tolerance log'!$B$9:$B$27,MATCH(B58,'Tolerance log'!$A$9:$A$27,0))</f>
        <v>1025 030626</v>
      </c>
      <c r="D58" s="7" t="str">
        <f aca="false">TEXT(INDEX('Tolerance log'!$G$9:$G$27,MATCH(B58,'Tolerance log'!$A$9:$A$27,0)),"0.00")&amp;" → "&amp;TEXT(INDEX('Tolerance log'!$D$9:$D$27,MATCH(E58,'Tolerance log'!$A$9:$A$27,0)),"0.00")</f>
        <v>149.65 → 150.64</v>
      </c>
      <c r="E58" s="7" t="n">
        <v>8</v>
      </c>
      <c r="F58" s="10" t="n">
        <f aca="false">ABS(INDEX('Tolerance log'!$G$9:$G$27,MATCH(B58,'Tolerance log'!$A$9:$A$27,0))-INDEX('Tolerance log'!$D$9:$D$27,MATCH(E58,'Tolerance log'!$A$9:$A$27,0)))</f>
        <v>0.989999999999981</v>
      </c>
      <c r="G58" s="7"/>
      <c r="H58" s="7"/>
    </row>
    <row r="59" customFormat="false" ht="15" hidden="false" customHeight="false" outlineLevel="0" collapsed="false">
      <c r="A59" s="7" t="n">
        <v>11</v>
      </c>
      <c r="B59" s="7" t="n">
        <v>8</v>
      </c>
      <c r="C59" s="7" t="str">
        <f aca="false">INDEX('Tolerance log'!$B$9:$B$27,MATCH(B59,'Tolerance log'!$A$9:$A$27,0))</f>
        <v>1008 030626</v>
      </c>
      <c r="D59" s="7" t="s">
        <v>76</v>
      </c>
      <c r="E59" s="7"/>
      <c r="F59" s="7"/>
      <c r="G59" s="7"/>
      <c r="H59" s="7"/>
    </row>
    <row r="60" customFormat="false" ht="15" hidden="false" customHeight="false" outlineLevel="0" collapsed="false">
      <c r="A60" s="3" t="s">
        <v>77</v>
      </c>
      <c r="B60" s="14" t="n">
        <f aca="false">SUM(F49:F58)</f>
        <v>4.74999999999994</v>
      </c>
      <c r="C60" s="3" t="s">
        <v>78</v>
      </c>
      <c r="D60" s="14" t="n">
        <f aca="false">MAX(F49:F58)</f>
        <v>1.22999999999999</v>
      </c>
    </row>
    <row r="63" customFormat="false" ht="15" hidden="false" customHeight="false" outlineLevel="0" collapsed="false">
      <c r="A63" s="19" t="s">
        <v>83</v>
      </c>
    </row>
    <row r="64" customFormat="false" ht="15" hidden="false" customHeight="false" outlineLevel="0" collapsed="false">
      <c r="A64" s="3" t="s">
        <v>71</v>
      </c>
      <c r="B64" s="12" t="s">
        <v>64</v>
      </c>
    </row>
    <row r="65" customFormat="false" ht="15" hidden="false" customHeight="false" outlineLevel="0" collapsed="false">
      <c r="A65" s="6" t="s">
        <v>72</v>
      </c>
      <c r="B65" s="6" t="s">
        <v>6</v>
      </c>
      <c r="C65" s="6" t="s">
        <v>7</v>
      </c>
      <c r="D65" s="6" t="s">
        <v>73</v>
      </c>
      <c r="E65" s="6" t="s">
        <v>74</v>
      </c>
      <c r="F65" s="6" t="s">
        <v>75</v>
      </c>
    </row>
    <row r="66" customFormat="false" ht="15" hidden="false" customHeight="false" outlineLevel="0" collapsed="false">
      <c r="A66" s="7" t="n">
        <v>1</v>
      </c>
      <c r="B66" s="7" t="n">
        <v>17</v>
      </c>
      <c r="C66" s="7" t="str">
        <f aca="false">INDEX('Tolerance log'!$B$9:$B$27,MATCH(B66,'Tolerance log'!$A$9:$A$27,0))</f>
        <v>1018 030626</v>
      </c>
      <c r="D66" s="7" t="str">
        <f aca="false">TEXT(INDEX('Tolerance log'!$I$9:$I$27,MATCH(B66,'Tolerance log'!$A$9:$A$27,0)),"0.00")&amp;" → "&amp;TEXT(INDEX('Tolerance log'!$F$9:$F$27,MATCH(E66,'Tolerance log'!$A$9:$A$27,0)),"0.00")</f>
        <v>31.16 → 31.07</v>
      </c>
      <c r="E66" s="7" t="n">
        <v>7</v>
      </c>
      <c r="F66" s="10" t="n">
        <f aca="false">ABS(INDEX('Tolerance log'!$I$9:$I$27,MATCH(B66,'Tolerance log'!$A$9:$A$27,0))-INDEX('Tolerance log'!$F$9:$F$27,MATCH(E66,'Tolerance log'!$A$9:$A$27,0)))</f>
        <v>0.0899999999999999</v>
      </c>
      <c r="G66" s="7"/>
      <c r="H66" s="7"/>
    </row>
    <row r="67" customFormat="false" ht="15" hidden="false" customHeight="false" outlineLevel="0" collapsed="false">
      <c r="A67" s="7" t="n">
        <v>2</v>
      </c>
      <c r="B67" s="7" t="n">
        <v>7</v>
      </c>
      <c r="C67" s="7" t="str">
        <f aca="false">INDEX('Tolerance log'!$B$9:$B$27,MATCH(B67,'Tolerance log'!$A$9:$A$27,0))</f>
        <v>1011 030626</v>
      </c>
      <c r="D67" s="7" t="str">
        <f aca="false">TEXT(INDEX('Tolerance log'!$I$9:$I$27,MATCH(B67,'Tolerance log'!$A$9:$A$27,0)),"0.00")&amp;" → "&amp;TEXT(INDEX('Tolerance log'!$F$9:$F$27,MATCH(E67,'Tolerance log'!$A$9:$A$27,0)),"0.00")</f>
        <v>31.34 → 31.39</v>
      </c>
      <c r="E67" s="7" t="n">
        <v>14</v>
      </c>
      <c r="F67" s="10" t="n">
        <f aca="false">ABS(INDEX('Tolerance log'!$I$9:$I$27,MATCH(B67,'Tolerance log'!$A$9:$A$27,0))-INDEX('Tolerance log'!$F$9:$F$27,MATCH(E67,'Tolerance log'!$A$9:$A$27,0)))</f>
        <v>0.0500000000000007</v>
      </c>
      <c r="G67" s="7"/>
      <c r="H67" s="7"/>
    </row>
    <row r="68" customFormat="false" ht="15" hidden="false" customHeight="false" outlineLevel="0" collapsed="false">
      <c r="A68" s="7" t="n">
        <v>3</v>
      </c>
      <c r="B68" s="7" t="n">
        <v>14</v>
      </c>
      <c r="C68" s="7" t="str">
        <f aca="false">INDEX('Tolerance log'!$B$9:$B$27,MATCH(B68,'Tolerance log'!$A$9:$A$27,0))</f>
        <v>1012 030626</v>
      </c>
      <c r="D68" s="7" t="str">
        <f aca="false">TEXT(INDEX('Tolerance log'!$I$9:$I$27,MATCH(B68,'Tolerance log'!$A$9:$A$27,0)),"0.00")&amp;" → "&amp;TEXT(INDEX('Tolerance log'!$F$9:$F$27,MATCH(E68,'Tolerance log'!$A$9:$A$27,0)),"0.00")</f>
        <v>31.00 → 31.04</v>
      </c>
      <c r="E68" s="7" t="n">
        <v>15</v>
      </c>
      <c r="F68" s="10" t="n">
        <f aca="false">ABS(INDEX('Tolerance log'!$I$9:$I$27,MATCH(B68,'Tolerance log'!$A$9:$A$27,0))-INDEX('Tolerance log'!$F$9:$F$27,MATCH(E68,'Tolerance log'!$A$9:$A$27,0)))</f>
        <v>0.0399999999999992</v>
      </c>
      <c r="G68" s="7"/>
      <c r="H68" s="7"/>
    </row>
    <row r="69" customFormat="false" ht="15" hidden="false" customHeight="false" outlineLevel="0" collapsed="false">
      <c r="A69" s="7" t="n">
        <v>4</v>
      </c>
      <c r="B69" s="7" t="n">
        <v>15</v>
      </c>
      <c r="C69" s="7" t="str">
        <f aca="false">INDEX('Tolerance log'!$B$9:$B$27,MATCH(B69,'Tolerance log'!$A$9:$A$27,0))</f>
        <v>1020 030626</v>
      </c>
      <c r="D69" s="7" t="str">
        <f aca="false">TEXT(INDEX('Tolerance log'!$I$9:$I$27,MATCH(B69,'Tolerance log'!$A$9:$A$27,0)),"0.00")&amp;" → "&amp;TEXT(INDEX('Tolerance log'!$F$9:$F$27,MATCH(E69,'Tolerance log'!$A$9:$A$27,0)),"0.00")</f>
        <v>31.69 → 31.45</v>
      </c>
      <c r="E69" s="7" t="n">
        <v>8</v>
      </c>
      <c r="F69" s="10" t="n">
        <f aca="false">ABS(INDEX('Tolerance log'!$I$9:$I$27,MATCH(B69,'Tolerance log'!$A$9:$A$27,0))-INDEX('Tolerance log'!$F$9:$F$27,MATCH(E69,'Tolerance log'!$A$9:$A$27,0)))</f>
        <v>0.240000000000002</v>
      </c>
      <c r="G69" s="7"/>
      <c r="H69" s="7"/>
    </row>
    <row r="70" customFormat="false" ht="15" hidden="false" customHeight="false" outlineLevel="0" collapsed="false">
      <c r="A70" s="7" t="n">
        <v>5</v>
      </c>
      <c r="B70" s="7" t="n">
        <v>8</v>
      </c>
      <c r="C70" s="7" t="str">
        <f aca="false">INDEX('Tolerance log'!$B$9:$B$27,MATCH(B70,'Tolerance log'!$A$9:$A$27,0))</f>
        <v>1008 030626</v>
      </c>
      <c r="D70" s="7" t="str">
        <f aca="false">TEXT(INDEX('Tolerance log'!$I$9:$I$27,MATCH(B70,'Tolerance log'!$A$9:$A$27,0)),"0.00")&amp;" → "&amp;TEXT(INDEX('Tolerance log'!$F$9:$F$27,MATCH(E70,'Tolerance log'!$A$9:$A$27,0)),"0.00")</f>
        <v>31.31 → 31.10</v>
      </c>
      <c r="E70" s="7" t="n">
        <v>12</v>
      </c>
      <c r="F70" s="10" t="n">
        <f aca="false">ABS(INDEX('Tolerance log'!$I$9:$I$27,MATCH(B70,'Tolerance log'!$A$9:$A$27,0))-INDEX('Tolerance log'!$F$9:$F$27,MATCH(E70,'Tolerance log'!$A$9:$A$27,0)))</f>
        <v>0.209999999999997</v>
      </c>
      <c r="G70" s="7"/>
      <c r="H70" s="7"/>
    </row>
    <row r="71" customFormat="false" ht="15" hidden="false" customHeight="false" outlineLevel="0" collapsed="false">
      <c r="A71" s="7" t="n">
        <v>6</v>
      </c>
      <c r="B71" s="7" t="n">
        <v>12</v>
      </c>
      <c r="C71" s="7" t="str">
        <f aca="false">INDEX('Tolerance log'!$B$9:$B$27,MATCH(B71,'Tolerance log'!$A$9:$A$27,0))</f>
        <v>0741 030626</v>
      </c>
      <c r="D71" s="7" t="str">
        <f aca="false">TEXT(INDEX('Tolerance log'!$I$9:$I$27,MATCH(B71,'Tolerance log'!$A$9:$A$27,0)),"0.00")&amp;" → "&amp;TEXT(INDEX('Tolerance log'!$F$9:$F$27,MATCH(E71,'Tolerance log'!$A$9:$A$27,0)),"0.00")</f>
        <v>31.52 → 31.47</v>
      </c>
      <c r="E71" s="7" t="n">
        <v>11</v>
      </c>
      <c r="F71" s="10" t="n">
        <f aca="false">ABS(INDEX('Tolerance log'!$I$9:$I$27,MATCH(B71,'Tolerance log'!$A$9:$A$27,0))-INDEX('Tolerance log'!$F$9:$F$27,MATCH(E71,'Tolerance log'!$A$9:$A$27,0)))</f>
        <v>0.0500000000000007</v>
      </c>
      <c r="G71" s="7"/>
      <c r="H71" s="7"/>
    </row>
    <row r="72" customFormat="false" ht="15" hidden="false" customHeight="false" outlineLevel="0" collapsed="false">
      <c r="A72" s="7" t="n">
        <v>7</v>
      </c>
      <c r="B72" s="7" t="n">
        <v>11</v>
      </c>
      <c r="C72" s="7" t="str">
        <f aca="false">INDEX('Tolerance log'!$B$9:$B$27,MATCH(B72,'Tolerance log'!$A$9:$A$27,0))</f>
        <v>1739 03082026</v>
      </c>
      <c r="D72" s="7" t="str">
        <f aca="false">TEXT(INDEX('Tolerance log'!$I$9:$I$27,MATCH(B72,'Tolerance log'!$A$9:$A$27,0)),"0.00")&amp;" → "&amp;TEXT(INDEX('Tolerance log'!$F$9:$F$27,MATCH(E72,'Tolerance log'!$A$9:$A$27,0)),"0.00")</f>
        <v>31.27 → 31.12</v>
      </c>
      <c r="E72" s="7" t="n">
        <v>13</v>
      </c>
      <c r="F72" s="10" t="n">
        <f aca="false">ABS(INDEX('Tolerance log'!$I$9:$I$27,MATCH(B72,'Tolerance log'!$A$9:$A$27,0))-INDEX('Tolerance log'!$F$9:$F$27,MATCH(E72,'Tolerance log'!$A$9:$A$27,0)))</f>
        <v>0.149999999999999</v>
      </c>
      <c r="G72" s="7"/>
      <c r="H72" s="7"/>
    </row>
    <row r="73" customFormat="false" ht="15" hidden="false" customHeight="false" outlineLevel="0" collapsed="false">
      <c r="A73" s="7" t="n">
        <v>8</v>
      </c>
      <c r="B73" s="7" t="n">
        <v>13</v>
      </c>
      <c r="C73" s="7" t="str">
        <f aca="false">INDEX('Tolerance log'!$B$9:$B$27,MATCH(B73,'Tolerance log'!$A$9:$A$27,0))</f>
        <v>1029 030626</v>
      </c>
      <c r="D73" s="7" t="str">
        <f aca="false">TEXT(INDEX('Tolerance log'!$I$9:$I$27,MATCH(B73,'Tolerance log'!$A$9:$A$27,0)),"0.00")&amp;" → "&amp;TEXT(INDEX('Tolerance log'!$F$9:$F$27,MATCH(E73,'Tolerance log'!$A$9:$A$27,0)),"0.00")</f>
        <v>31.32 → 31.21</v>
      </c>
      <c r="E73" s="7" t="n">
        <v>16</v>
      </c>
      <c r="F73" s="10" t="n">
        <f aca="false">ABS(INDEX('Tolerance log'!$I$9:$I$27,MATCH(B73,'Tolerance log'!$A$9:$A$27,0))-INDEX('Tolerance log'!$F$9:$F$27,MATCH(E73,'Tolerance log'!$A$9:$A$27,0)))</f>
        <v>0.109999999999999</v>
      </c>
      <c r="G73" s="7"/>
      <c r="H73" s="7"/>
    </row>
    <row r="74" customFormat="false" ht="15" hidden="false" customHeight="false" outlineLevel="0" collapsed="false">
      <c r="A74" s="7" t="n">
        <v>9</v>
      </c>
      <c r="B74" s="7" t="n">
        <v>16</v>
      </c>
      <c r="C74" s="7" t="str">
        <f aca="false">INDEX('Tolerance log'!$B$9:$B$27,MATCH(B74,'Tolerance log'!$A$9:$A$27,0))</f>
        <v>1025 030626</v>
      </c>
      <c r="D74" s="7" t="str">
        <f aca="false">TEXT(INDEX('Tolerance log'!$I$9:$I$27,MATCH(B74,'Tolerance log'!$A$9:$A$27,0)),"0.00")&amp;" → "&amp;TEXT(INDEX('Tolerance log'!$F$9:$F$27,MATCH(E74,'Tolerance log'!$A$9:$A$27,0)),"0.00")</f>
        <v>31.81 → 31.81</v>
      </c>
      <c r="E74" s="7" t="n">
        <v>10</v>
      </c>
      <c r="F74" s="10" t="n">
        <f aca="false">ABS(INDEX('Tolerance log'!$I$9:$I$27,MATCH(B74,'Tolerance log'!$A$9:$A$27,0))-INDEX('Tolerance log'!$F$9:$F$27,MATCH(E74,'Tolerance log'!$A$9:$A$27,0)))</f>
        <v>0</v>
      </c>
      <c r="G74" s="7"/>
      <c r="H74" s="7"/>
    </row>
    <row r="75" customFormat="false" ht="15" hidden="false" customHeight="false" outlineLevel="0" collapsed="false">
      <c r="A75" s="7" t="n">
        <v>10</v>
      </c>
      <c r="B75" s="7" t="n">
        <v>10</v>
      </c>
      <c r="C75" s="7" t="str">
        <f aca="false">INDEX('Tolerance log'!$B$9:$B$27,MATCH(B75,'Tolerance log'!$A$9:$A$27,0))</f>
        <v>1739 03082026</v>
      </c>
      <c r="D75" s="7" t="str">
        <f aca="false">TEXT(INDEX('Tolerance log'!$I$9:$I$27,MATCH(B75,'Tolerance log'!$A$9:$A$27,0)),"0.00")&amp;" → "&amp;TEXT(INDEX('Tolerance log'!$F$9:$F$27,MATCH(E75,'Tolerance log'!$A$9:$A$27,0)),"0.00")</f>
        <v>31.87 → 31.86</v>
      </c>
      <c r="E75" s="7" t="n">
        <v>9</v>
      </c>
      <c r="F75" s="10" t="n">
        <f aca="false">ABS(INDEX('Tolerance log'!$I$9:$I$27,MATCH(B75,'Tolerance log'!$A$9:$A$27,0))-INDEX('Tolerance log'!$F$9:$F$27,MATCH(E75,'Tolerance log'!$A$9:$A$27,0)))</f>
        <v>0.0100000000000016</v>
      </c>
      <c r="G75" s="7"/>
      <c r="H75" s="7"/>
    </row>
    <row r="76" customFormat="false" ht="15" hidden="false" customHeight="false" outlineLevel="0" collapsed="false">
      <c r="A76" s="7" t="n">
        <v>11</v>
      </c>
      <c r="B76" s="7" t="n">
        <v>9</v>
      </c>
      <c r="C76" s="7" t="str">
        <f aca="false">INDEX('Tolerance log'!$B$9:$B$27,MATCH(B76,'Tolerance log'!$A$9:$A$27,0))</f>
        <v>1830 03082026</v>
      </c>
      <c r="D76" s="7" t="s">
        <v>76</v>
      </c>
      <c r="E76" s="7"/>
      <c r="F76" s="7"/>
      <c r="G76" s="7"/>
      <c r="H76" s="7"/>
    </row>
    <row r="77" customFormat="false" ht="15" hidden="false" customHeight="false" outlineLevel="0" collapsed="false">
      <c r="A77" s="3" t="s">
        <v>77</v>
      </c>
      <c r="B77" s="14" t="n">
        <f aca="false">SUM(F66:F75)</f>
        <v>0.949999999999999</v>
      </c>
      <c r="C77" s="3" t="s">
        <v>78</v>
      </c>
      <c r="D77" s="14" t="n">
        <f aca="false">MAX(F66:F75)</f>
        <v>0.240000000000002</v>
      </c>
    </row>
    <row r="79" customFormat="false" ht="15" hidden="false" customHeight="false" outlineLevel="0" collapsed="false">
      <c r="A79" s="3" t="s">
        <v>79</v>
      </c>
      <c r="B79" s="12" t="s">
        <v>84</v>
      </c>
    </row>
    <row r="80" customFormat="false" ht="15" hidden="false" customHeight="false" outlineLevel="0" collapsed="false">
      <c r="A80" s="6" t="s">
        <v>72</v>
      </c>
      <c r="B80" s="6" t="s">
        <v>6</v>
      </c>
      <c r="C80" s="6" t="s">
        <v>7</v>
      </c>
      <c r="D80" s="6" t="s">
        <v>73</v>
      </c>
      <c r="E80" s="6" t="s">
        <v>74</v>
      </c>
      <c r="F80" s="6" t="s">
        <v>75</v>
      </c>
    </row>
    <row r="81" customFormat="false" ht="15" hidden="false" customHeight="false" outlineLevel="0" collapsed="false">
      <c r="A81" s="7" t="n">
        <v>1</v>
      </c>
      <c r="B81" s="7" t="n">
        <v>17</v>
      </c>
      <c r="C81" s="7" t="str">
        <f aca="false">INDEX('Tolerance log'!$B$9:$B$27,MATCH(B81,'Tolerance log'!$A$9:$A$27,0))</f>
        <v>1018 030626</v>
      </c>
      <c r="D81" s="7" t="str">
        <f aca="false">TEXT(INDEX('Tolerance log'!$I$9:$I$27,MATCH(B81,'Tolerance log'!$A$9:$A$27,0)),"0.00")&amp;" → "&amp;TEXT(INDEX('Tolerance log'!$F$9:$F$27,MATCH(E81,'Tolerance log'!$A$9:$A$27,0)),"0.00")</f>
        <v>31.16 → 31.07</v>
      </c>
      <c r="E81" s="7" t="n">
        <v>7</v>
      </c>
      <c r="F81" s="10" t="n">
        <f aca="false">ABS(INDEX('Tolerance log'!$I$9:$I$27,MATCH(B81,'Tolerance log'!$A$9:$A$27,0))-INDEX('Tolerance log'!$F$9:$F$27,MATCH(E81,'Tolerance log'!$A$9:$A$27,0)))</f>
        <v>0.0899999999999999</v>
      </c>
      <c r="G81" s="7"/>
      <c r="H81" s="7"/>
    </row>
    <row r="82" customFormat="false" ht="15" hidden="false" customHeight="false" outlineLevel="0" collapsed="false">
      <c r="A82" s="7" t="n">
        <v>2</v>
      </c>
      <c r="B82" s="7" t="n">
        <v>7</v>
      </c>
      <c r="C82" s="7" t="str">
        <f aca="false">INDEX('Tolerance log'!$B$9:$B$27,MATCH(B82,'Tolerance log'!$A$9:$A$27,0))</f>
        <v>1011 030626</v>
      </c>
      <c r="D82" s="7" t="str">
        <f aca="false">TEXT(INDEX('Tolerance log'!$I$9:$I$27,MATCH(B82,'Tolerance log'!$A$9:$A$27,0)),"0.00")&amp;" → "&amp;TEXT(INDEX('Tolerance log'!$F$9:$F$27,MATCH(E82,'Tolerance log'!$A$9:$A$27,0)),"0.00")</f>
        <v>31.34 → 31.39</v>
      </c>
      <c r="E82" s="7" t="n">
        <v>14</v>
      </c>
      <c r="F82" s="10" t="n">
        <f aca="false">ABS(INDEX('Tolerance log'!$I$9:$I$27,MATCH(B82,'Tolerance log'!$A$9:$A$27,0))-INDEX('Tolerance log'!$F$9:$F$27,MATCH(E82,'Tolerance log'!$A$9:$A$27,0)))</f>
        <v>0.0500000000000007</v>
      </c>
      <c r="G82" s="7"/>
      <c r="H82" s="7"/>
    </row>
    <row r="83" customFormat="false" ht="15" hidden="false" customHeight="false" outlineLevel="0" collapsed="false">
      <c r="A83" s="7" t="n">
        <v>3</v>
      </c>
      <c r="B83" s="7" t="n">
        <v>14</v>
      </c>
      <c r="C83" s="7" t="str">
        <f aca="false">INDEX('Tolerance log'!$B$9:$B$27,MATCH(B83,'Tolerance log'!$A$9:$A$27,0))</f>
        <v>1012 030626</v>
      </c>
      <c r="D83" s="7" t="str">
        <f aca="false">TEXT(INDEX('Tolerance log'!$I$9:$I$27,MATCH(B83,'Tolerance log'!$A$9:$A$27,0)),"0.00")&amp;" → "&amp;TEXT(INDEX('Tolerance log'!$F$9:$F$27,MATCH(E83,'Tolerance log'!$A$9:$A$27,0)),"0.00")</f>
        <v>31.00 → 31.04</v>
      </c>
      <c r="E83" s="7" t="n">
        <v>15</v>
      </c>
      <c r="F83" s="10" t="n">
        <f aca="false">ABS(INDEX('Tolerance log'!$I$9:$I$27,MATCH(B83,'Tolerance log'!$A$9:$A$27,0))-INDEX('Tolerance log'!$F$9:$F$27,MATCH(E83,'Tolerance log'!$A$9:$A$27,0)))</f>
        <v>0.0399999999999992</v>
      </c>
      <c r="G83" s="7"/>
      <c r="H83" s="7"/>
    </row>
    <row r="84" customFormat="false" ht="15" hidden="false" customHeight="false" outlineLevel="0" collapsed="false">
      <c r="A84" s="7" t="n">
        <v>4</v>
      </c>
      <c r="B84" s="7" t="n">
        <v>15</v>
      </c>
      <c r="C84" s="7" t="str">
        <f aca="false">INDEX('Tolerance log'!$B$9:$B$27,MATCH(B84,'Tolerance log'!$A$9:$A$27,0))</f>
        <v>1020 030626</v>
      </c>
      <c r="D84" s="7" t="str">
        <f aca="false">TEXT(INDEX('Tolerance log'!$I$9:$I$27,MATCH(B84,'Tolerance log'!$A$9:$A$27,0)),"0.00")&amp;" → "&amp;TEXT(INDEX('Tolerance log'!$F$9:$F$27,MATCH(E84,'Tolerance log'!$A$9:$A$27,0)),"0.00")</f>
        <v>31.69 → 31.45</v>
      </c>
      <c r="E84" s="7" t="n">
        <v>8</v>
      </c>
      <c r="F84" s="10" t="n">
        <f aca="false">ABS(INDEX('Tolerance log'!$I$9:$I$27,MATCH(B84,'Tolerance log'!$A$9:$A$27,0))-INDEX('Tolerance log'!$F$9:$F$27,MATCH(E84,'Tolerance log'!$A$9:$A$27,0)))</f>
        <v>0.240000000000002</v>
      </c>
      <c r="G84" s="7"/>
      <c r="H84" s="7"/>
    </row>
    <row r="85" customFormat="false" ht="15" hidden="false" customHeight="false" outlineLevel="0" collapsed="false">
      <c r="A85" s="7" t="n">
        <v>5</v>
      </c>
      <c r="B85" s="7" t="n">
        <v>8</v>
      </c>
      <c r="C85" s="7" t="str">
        <f aca="false">INDEX('Tolerance log'!$B$9:$B$27,MATCH(B85,'Tolerance log'!$A$9:$A$27,0))</f>
        <v>1008 030626</v>
      </c>
      <c r="D85" s="7" t="str">
        <f aca="false">TEXT(INDEX('Tolerance log'!$I$9:$I$27,MATCH(B85,'Tolerance log'!$A$9:$A$27,0)),"0.00")&amp;" → "&amp;TEXT(INDEX('Tolerance log'!$F$9:$F$27,MATCH(E85,'Tolerance log'!$A$9:$A$27,0)),"0.00")</f>
        <v>31.31 → 31.12</v>
      </c>
      <c r="E85" s="7" t="n">
        <v>13</v>
      </c>
      <c r="F85" s="10" t="n">
        <f aca="false">ABS(INDEX('Tolerance log'!$I$9:$I$27,MATCH(B85,'Tolerance log'!$A$9:$A$27,0))-INDEX('Tolerance log'!$F$9:$F$27,MATCH(E85,'Tolerance log'!$A$9:$A$27,0)))</f>
        <v>0.189999999999998</v>
      </c>
      <c r="G85" s="7"/>
      <c r="H85" s="7"/>
    </row>
    <row r="86" customFormat="false" ht="15" hidden="false" customHeight="false" outlineLevel="0" collapsed="false">
      <c r="A86" s="7" t="n">
        <v>6</v>
      </c>
      <c r="B86" s="7" t="n">
        <v>13</v>
      </c>
      <c r="C86" s="7" t="str">
        <f aca="false">INDEX('Tolerance log'!$B$9:$B$27,MATCH(B86,'Tolerance log'!$A$9:$A$27,0))</f>
        <v>1029 030626</v>
      </c>
      <c r="D86" s="7" t="str">
        <f aca="false">TEXT(INDEX('Tolerance log'!$I$9:$I$27,MATCH(B86,'Tolerance log'!$A$9:$A$27,0)),"0.00")&amp;" → "&amp;TEXT(INDEX('Tolerance log'!$F$9:$F$27,MATCH(E86,'Tolerance log'!$A$9:$A$27,0)),"0.00")</f>
        <v>31.32 → 31.10</v>
      </c>
      <c r="E86" s="7" t="n">
        <v>12</v>
      </c>
      <c r="F86" s="10" t="n">
        <f aca="false">ABS(INDEX('Tolerance log'!$I$9:$I$27,MATCH(B86,'Tolerance log'!$A$9:$A$27,0))-INDEX('Tolerance log'!$F$9:$F$27,MATCH(E86,'Tolerance log'!$A$9:$A$27,0)))</f>
        <v>0.219999999999999</v>
      </c>
      <c r="G86" s="7"/>
      <c r="H86" s="7"/>
    </row>
    <row r="87" customFormat="false" ht="15" hidden="false" customHeight="false" outlineLevel="0" collapsed="false">
      <c r="A87" s="7" t="n">
        <v>7</v>
      </c>
      <c r="B87" s="7" t="n">
        <v>12</v>
      </c>
      <c r="C87" s="7" t="str">
        <f aca="false">INDEX('Tolerance log'!$B$9:$B$27,MATCH(B87,'Tolerance log'!$A$9:$A$27,0))</f>
        <v>0741 030626</v>
      </c>
      <c r="D87" s="7" t="str">
        <f aca="false">TEXT(INDEX('Tolerance log'!$I$9:$I$27,MATCH(B87,'Tolerance log'!$A$9:$A$27,0)),"0.00")&amp;" → "&amp;TEXT(INDEX('Tolerance log'!$F$9:$F$27,MATCH(E87,'Tolerance log'!$A$9:$A$27,0)),"0.00")</f>
        <v>31.52 → 31.47</v>
      </c>
      <c r="E87" s="7" t="n">
        <v>11</v>
      </c>
      <c r="F87" s="10" t="n">
        <f aca="false">ABS(INDEX('Tolerance log'!$I$9:$I$27,MATCH(B87,'Tolerance log'!$A$9:$A$27,0))-INDEX('Tolerance log'!$F$9:$F$27,MATCH(E87,'Tolerance log'!$A$9:$A$27,0)))</f>
        <v>0.0500000000000007</v>
      </c>
      <c r="G87" s="7"/>
      <c r="H87" s="7"/>
    </row>
    <row r="88" customFormat="false" ht="15" hidden="false" customHeight="false" outlineLevel="0" collapsed="false">
      <c r="A88" s="7" t="n">
        <v>8</v>
      </c>
      <c r="B88" s="7" t="n">
        <v>11</v>
      </c>
      <c r="C88" s="7" t="str">
        <f aca="false">INDEX('Tolerance log'!$B$9:$B$27,MATCH(B88,'Tolerance log'!$A$9:$A$27,0))</f>
        <v>1739 03082026</v>
      </c>
      <c r="D88" s="7" t="str">
        <f aca="false">TEXT(INDEX('Tolerance log'!$I$9:$I$27,MATCH(B88,'Tolerance log'!$A$9:$A$27,0)),"0.00")&amp;" → "&amp;TEXT(INDEX('Tolerance log'!$F$9:$F$27,MATCH(E88,'Tolerance log'!$A$9:$A$27,0)),"0.00")</f>
        <v>31.27 → 31.21</v>
      </c>
      <c r="E88" s="7" t="n">
        <v>16</v>
      </c>
      <c r="F88" s="10" t="n">
        <f aca="false">ABS(INDEX('Tolerance log'!$I$9:$I$27,MATCH(B88,'Tolerance log'!$A$9:$A$27,0))-INDEX('Tolerance log'!$F$9:$F$27,MATCH(E88,'Tolerance log'!$A$9:$A$27,0)))</f>
        <v>0.0599999999999987</v>
      </c>
      <c r="G88" s="7"/>
      <c r="H88" s="7"/>
    </row>
    <row r="89" customFormat="false" ht="15" hidden="false" customHeight="false" outlineLevel="0" collapsed="false">
      <c r="A89" s="7" t="n">
        <v>9</v>
      </c>
      <c r="B89" s="7" t="n">
        <v>16</v>
      </c>
      <c r="C89" s="7" t="str">
        <f aca="false">INDEX('Tolerance log'!$B$9:$B$27,MATCH(B89,'Tolerance log'!$A$9:$A$27,0))</f>
        <v>1025 030626</v>
      </c>
      <c r="D89" s="7" t="str">
        <f aca="false">TEXT(INDEX('Tolerance log'!$I$9:$I$27,MATCH(B89,'Tolerance log'!$A$9:$A$27,0)),"0.00")&amp;" → "&amp;TEXT(INDEX('Tolerance log'!$F$9:$F$27,MATCH(E89,'Tolerance log'!$A$9:$A$27,0)),"0.00")</f>
        <v>31.81 → 31.81</v>
      </c>
      <c r="E89" s="7" t="n">
        <v>10</v>
      </c>
      <c r="F89" s="10" t="n">
        <f aca="false">ABS(INDEX('Tolerance log'!$I$9:$I$27,MATCH(B89,'Tolerance log'!$A$9:$A$27,0))-INDEX('Tolerance log'!$F$9:$F$27,MATCH(E89,'Tolerance log'!$A$9:$A$27,0)))</f>
        <v>0</v>
      </c>
      <c r="G89" s="7"/>
      <c r="H89" s="7"/>
    </row>
    <row r="90" customFormat="false" ht="15" hidden="false" customHeight="false" outlineLevel="0" collapsed="false">
      <c r="A90" s="7" t="n">
        <v>10</v>
      </c>
      <c r="B90" s="7" t="n">
        <v>10</v>
      </c>
      <c r="C90" s="7" t="str">
        <f aca="false">INDEX('Tolerance log'!$B$9:$B$27,MATCH(B90,'Tolerance log'!$A$9:$A$27,0))</f>
        <v>1739 03082026</v>
      </c>
      <c r="D90" s="7" t="str">
        <f aca="false">TEXT(INDEX('Tolerance log'!$I$9:$I$27,MATCH(B90,'Tolerance log'!$A$9:$A$27,0)),"0.00")&amp;" → "&amp;TEXT(INDEX('Tolerance log'!$F$9:$F$27,MATCH(E90,'Tolerance log'!$A$9:$A$27,0)),"0.00")</f>
        <v>31.87 → 31.86</v>
      </c>
      <c r="E90" s="7" t="n">
        <v>9</v>
      </c>
      <c r="F90" s="10" t="n">
        <f aca="false">ABS(INDEX('Tolerance log'!$I$9:$I$27,MATCH(B90,'Tolerance log'!$A$9:$A$27,0))-INDEX('Tolerance log'!$F$9:$F$27,MATCH(E90,'Tolerance log'!$A$9:$A$27,0)))</f>
        <v>0.0100000000000016</v>
      </c>
      <c r="G90" s="7"/>
      <c r="H90" s="7"/>
    </row>
    <row r="91" customFormat="false" ht="15" hidden="false" customHeight="false" outlineLevel="0" collapsed="false">
      <c r="A91" s="7" t="n">
        <v>11</v>
      </c>
      <c r="B91" s="7" t="n">
        <v>9</v>
      </c>
      <c r="C91" s="7" t="str">
        <f aca="false">INDEX('Tolerance log'!$B$9:$B$27,MATCH(B91,'Tolerance log'!$A$9:$A$27,0))</f>
        <v>1830 03082026</v>
      </c>
      <c r="D91" s="7" t="s">
        <v>76</v>
      </c>
      <c r="E91" s="7"/>
      <c r="F91" s="7"/>
      <c r="G91" s="7"/>
      <c r="H91" s="7"/>
    </row>
    <row r="92" customFormat="false" ht="15" hidden="false" customHeight="false" outlineLevel="0" collapsed="false">
      <c r="A92" s="3" t="s">
        <v>77</v>
      </c>
      <c r="B92" s="14" t="n">
        <f aca="false">SUM(F81:F90)</f>
        <v>0.949999999999999</v>
      </c>
      <c r="C92" s="3" t="s">
        <v>78</v>
      </c>
      <c r="D92" s="14" t="n">
        <f aca="false">MAX(F81:F90)</f>
        <v>0.240000000000002</v>
      </c>
    </row>
    <row r="94" customFormat="false" ht="15" hidden="false" customHeight="false" outlineLevel="0" collapsed="false">
      <c r="A94" s="3" t="s">
        <v>81</v>
      </c>
      <c r="B94" s="12" t="s">
        <v>85</v>
      </c>
    </row>
    <row r="95" customFormat="false" ht="15" hidden="false" customHeight="false" outlineLevel="0" collapsed="false">
      <c r="A95" s="6" t="s">
        <v>72</v>
      </c>
      <c r="B95" s="6" t="s">
        <v>6</v>
      </c>
      <c r="C95" s="6" t="s">
        <v>7</v>
      </c>
      <c r="D95" s="6" t="s">
        <v>73</v>
      </c>
      <c r="E95" s="6" t="s">
        <v>74</v>
      </c>
      <c r="F95" s="6" t="s">
        <v>75</v>
      </c>
    </row>
    <row r="96" customFormat="false" ht="15" hidden="false" customHeight="false" outlineLevel="0" collapsed="false">
      <c r="A96" s="7" t="n">
        <v>1</v>
      </c>
      <c r="B96" s="7" t="n">
        <v>17</v>
      </c>
      <c r="C96" s="7" t="str">
        <f aca="false">INDEX('Tolerance log'!$B$9:$B$27,MATCH(B96,'Tolerance log'!$A$9:$A$27,0))</f>
        <v>1018 030626</v>
      </c>
      <c r="D96" s="7" t="str">
        <f aca="false">TEXT(INDEX('Tolerance log'!$I$9:$I$27,MATCH(B96,'Tolerance log'!$A$9:$A$27,0)),"0.00")&amp;" → "&amp;TEXT(INDEX('Tolerance log'!$F$9:$F$27,MATCH(E96,'Tolerance log'!$A$9:$A$27,0)),"0.00")</f>
        <v>31.16 → 31.07</v>
      </c>
      <c r="E96" s="7" t="n">
        <v>7</v>
      </c>
      <c r="F96" s="10" t="n">
        <f aca="false">ABS(INDEX('Tolerance log'!$I$9:$I$27,MATCH(B96,'Tolerance log'!$A$9:$A$27,0))-INDEX('Tolerance log'!$F$9:$F$27,MATCH(E96,'Tolerance log'!$A$9:$A$27,0)))</f>
        <v>0.0899999999999999</v>
      </c>
      <c r="G96" s="7"/>
      <c r="H96" s="7"/>
    </row>
    <row r="97" customFormat="false" ht="15" hidden="false" customHeight="false" outlineLevel="0" collapsed="false">
      <c r="A97" s="7" t="n">
        <v>2</v>
      </c>
      <c r="B97" s="7" t="n">
        <v>7</v>
      </c>
      <c r="C97" s="7" t="str">
        <f aca="false">INDEX('Tolerance log'!$B$9:$B$27,MATCH(B97,'Tolerance log'!$A$9:$A$27,0))</f>
        <v>1011 030626</v>
      </c>
      <c r="D97" s="7" t="str">
        <f aca="false">TEXT(INDEX('Tolerance log'!$I$9:$I$27,MATCH(B97,'Tolerance log'!$A$9:$A$27,0)),"0.00")&amp;" → "&amp;TEXT(INDEX('Tolerance log'!$F$9:$F$27,MATCH(E97,'Tolerance log'!$A$9:$A$27,0)),"0.00")</f>
        <v>31.34 → 31.39</v>
      </c>
      <c r="E97" s="7" t="n">
        <v>14</v>
      </c>
      <c r="F97" s="10" t="n">
        <f aca="false">ABS(INDEX('Tolerance log'!$I$9:$I$27,MATCH(B97,'Tolerance log'!$A$9:$A$27,0))-INDEX('Tolerance log'!$F$9:$F$27,MATCH(E97,'Tolerance log'!$A$9:$A$27,0)))</f>
        <v>0.0500000000000007</v>
      </c>
      <c r="G97" s="7"/>
      <c r="H97" s="7"/>
    </row>
    <row r="98" customFormat="false" ht="15" hidden="false" customHeight="false" outlineLevel="0" collapsed="false">
      <c r="A98" s="7" t="n">
        <v>3</v>
      </c>
      <c r="B98" s="7" t="n">
        <v>14</v>
      </c>
      <c r="C98" s="7" t="str">
        <f aca="false">INDEX('Tolerance log'!$B$9:$B$27,MATCH(B98,'Tolerance log'!$A$9:$A$27,0))</f>
        <v>1012 030626</v>
      </c>
      <c r="D98" s="7" t="str">
        <f aca="false">TEXT(INDEX('Tolerance log'!$I$9:$I$27,MATCH(B98,'Tolerance log'!$A$9:$A$27,0)),"0.00")&amp;" → "&amp;TEXT(INDEX('Tolerance log'!$F$9:$F$27,MATCH(E98,'Tolerance log'!$A$9:$A$27,0)),"0.00")</f>
        <v>31.00 → 31.04</v>
      </c>
      <c r="E98" s="7" t="n">
        <v>15</v>
      </c>
      <c r="F98" s="10" t="n">
        <f aca="false">ABS(INDEX('Tolerance log'!$I$9:$I$27,MATCH(B98,'Tolerance log'!$A$9:$A$27,0))-INDEX('Tolerance log'!$F$9:$F$27,MATCH(E98,'Tolerance log'!$A$9:$A$27,0)))</f>
        <v>0.0399999999999992</v>
      </c>
      <c r="G98" s="7"/>
      <c r="H98" s="7"/>
    </row>
    <row r="99" customFormat="false" ht="15" hidden="false" customHeight="false" outlineLevel="0" collapsed="false">
      <c r="A99" s="7" t="n">
        <v>4</v>
      </c>
      <c r="B99" s="7" t="n">
        <v>15</v>
      </c>
      <c r="C99" s="7" t="str">
        <f aca="false">INDEX('Tolerance log'!$B$9:$B$27,MATCH(B99,'Tolerance log'!$A$9:$A$27,0))</f>
        <v>1020 030626</v>
      </c>
      <c r="D99" s="7" t="str">
        <f aca="false">TEXT(INDEX('Tolerance log'!$I$9:$I$27,MATCH(B99,'Tolerance log'!$A$9:$A$27,0)),"0.00")&amp;" → "&amp;TEXT(INDEX('Tolerance log'!$F$9:$F$27,MATCH(E99,'Tolerance log'!$A$9:$A$27,0)),"0.00")</f>
        <v>31.69 → 31.47</v>
      </c>
      <c r="E99" s="7" t="n">
        <v>11</v>
      </c>
      <c r="F99" s="10" t="n">
        <f aca="false">ABS(INDEX('Tolerance log'!$I$9:$I$27,MATCH(B99,'Tolerance log'!$A$9:$A$27,0))-INDEX('Tolerance log'!$F$9:$F$27,MATCH(E99,'Tolerance log'!$A$9:$A$27,0)))</f>
        <v>0.220000000000002</v>
      </c>
      <c r="G99" s="7"/>
      <c r="H99" s="7"/>
    </row>
    <row r="100" customFormat="false" ht="15" hidden="false" customHeight="false" outlineLevel="0" collapsed="false">
      <c r="A100" s="7" t="n">
        <v>5</v>
      </c>
      <c r="B100" s="7" t="n">
        <v>11</v>
      </c>
      <c r="C100" s="7" t="str">
        <f aca="false">INDEX('Tolerance log'!$B$9:$B$27,MATCH(B100,'Tolerance log'!$A$9:$A$27,0))</f>
        <v>1739 03082026</v>
      </c>
      <c r="D100" s="7" t="str">
        <f aca="false">TEXT(INDEX('Tolerance log'!$I$9:$I$27,MATCH(B100,'Tolerance log'!$A$9:$A$27,0)),"0.00")&amp;" → "&amp;TEXT(INDEX('Tolerance log'!$F$9:$F$27,MATCH(E100,'Tolerance log'!$A$9:$A$27,0)),"0.00")</f>
        <v>31.27 → 31.10</v>
      </c>
      <c r="E100" s="7" t="n">
        <v>12</v>
      </c>
      <c r="F100" s="10" t="n">
        <f aca="false">ABS(INDEX('Tolerance log'!$I$9:$I$27,MATCH(B100,'Tolerance log'!$A$9:$A$27,0))-INDEX('Tolerance log'!$F$9:$F$27,MATCH(E100,'Tolerance log'!$A$9:$A$27,0)))</f>
        <v>0.169999999999998</v>
      </c>
      <c r="G100" s="7"/>
      <c r="H100" s="7"/>
    </row>
    <row r="101" customFormat="false" ht="15" hidden="false" customHeight="false" outlineLevel="0" collapsed="false">
      <c r="A101" s="7" t="n">
        <v>6</v>
      </c>
      <c r="B101" s="7" t="n">
        <v>12</v>
      </c>
      <c r="C101" s="7" t="str">
        <f aca="false">INDEX('Tolerance log'!$B$9:$B$27,MATCH(B101,'Tolerance log'!$A$9:$A$27,0))</f>
        <v>0741 030626</v>
      </c>
      <c r="D101" s="7" t="str">
        <f aca="false">TEXT(INDEX('Tolerance log'!$I$9:$I$27,MATCH(B101,'Tolerance log'!$A$9:$A$27,0)),"0.00")&amp;" → "&amp;TEXT(INDEX('Tolerance log'!$F$9:$F$27,MATCH(E101,'Tolerance log'!$A$9:$A$27,0)),"0.00")</f>
        <v>31.52 → 31.45</v>
      </c>
      <c r="E101" s="7" t="n">
        <v>8</v>
      </c>
      <c r="F101" s="10" t="n">
        <f aca="false">ABS(INDEX('Tolerance log'!$I$9:$I$27,MATCH(B101,'Tolerance log'!$A$9:$A$27,0))-INDEX('Tolerance log'!$F$9:$F$27,MATCH(E101,'Tolerance log'!$A$9:$A$27,0)))</f>
        <v>0.0700000000000003</v>
      </c>
      <c r="G101" s="7"/>
      <c r="H101" s="7"/>
    </row>
    <row r="102" customFormat="false" ht="15" hidden="false" customHeight="false" outlineLevel="0" collapsed="false">
      <c r="A102" s="7" t="n">
        <v>7</v>
      </c>
      <c r="B102" s="7" t="n">
        <v>8</v>
      </c>
      <c r="C102" s="7" t="str">
        <f aca="false">INDEX('Tolerance log'!$B$9:$B$27,MATCH(B102,'Tolerance log'!$A$9:$A$27,0))</f>
        <v>1008 030626</v>
      </c>
      <c r="D102" s="7" t="str">
        <f aca="false">TEXT(INDEX('Tolerance log'!$I$9:$I$27,MATCH(B102,'Tolerance log'!$A$9:$A$27,0)),"0.00")&amp;" → "&amp;TEXT(INDEX('Tolerance log'!$F$9:$F$27,MATCH(E102,'Tolerance log'!$A$9:$A$27,0)),"0.00")</f>
        <v>31.31 → 31.12</v>
      </c>
      <c r="E102" s="7" t="n">
        <v>13</v>
      </c>
      <c r="F102" s="10" t="n">
        <f aca="false">ABS(INDEX('Tolerance log'!$I$9:$I$27,MATCH(B102,'Tolerance log'!$A$9:$A$27,0))-INDEX('Tolerance log'!$F$9:$F$27,MATCH(E102,'Tolerance log'!$A$9:$A$27,0)))</f>
        <v>0.189999999999998</v>
      </c>
      <c r="G102" s="7"/>
      <c r="H102" s="7"/>
    </row>
    <row r="103" customFormat="false" ht="15" hidden="false" customHeight="false" outlineLevel="0" collapsed="false">
      <c r="A103" s="7" t="n">
        <v>8</v>
      </c>
      <c r="B103" s="7" t="n">
        <v>13</v>
      </c>
      <c r="C103" s="7" t="str">
        <f aca="false">INDEX('Tolerance log'!$B$9:$B$27,MATCH(B103,'Tolerance log'!$A$9:$A$27,0))</f>
        <v>1029 030626</v>
      </c>
      <c r="D103" s="7" t="str">
        <f aca="false">TEXT(INDEX('Tolerance log'!$I$9:$I$27,MATCH(B103,'Tolerance log'!$A$9:$A$27,0)),"0.00")&amp;" → "&amp;TEXT(INDEX('Tolerance log'!$F$9:$F$27,MATCH(E103,'Tolerance log'!$A$9:$A$27,0)),"0.00")</f>
        <v>31.32 → 31.21</v>
      </c>
      <c r="E103" s="7" t="n">
        <v>16</v>
      </c>
      <c r="F103" s="10" t="n">
        <f aca="false">ABS(INDEX('Tolerance log'!$I$9:$I$27,MATCH(B103,'Tolerance log'!$A$9:$A$27,0))-INDEX('Tolerance log'!$F$9:$F$27,MATCH(E103,'Tolerance log'!$A$9:$A$27,0)))</f>
        <v>0.109999999999999</v>
      </c>
      <c r="G103" s="7"/>
      <c r="H103" s="7"/>
    </row>
    <row r="104" customFormat="false" ht="15" hidden="false" customHeight="false" outlineLevel="0" collapsed="false">
      <c r="A104" s="7" t="n">
        <v>9</v>
      </c>
      <c r="B104" s="7" t="n">
        <v>16</v>
      </c>
      <c r="C104" s="7" t="str">
        <f aca="false">INDEX('Tolerance log'!$B$9:$B$27,MATCH(B104,'Tolerance log'!$A$9:$A$27,0))</f>
        <v>1025 030626</v>
      </c>
      <c r="D104" s="7" t="str">
        <f aca="false">TEXT(INDEX('Tolerance log'!$I$9:$I$27,MATCH(B104,'Tolerance log'!$A$9:$A$27,0)),"0.00")&amp;" → "&amp;TEXT(INDEX('Tolerance log'!$F$9:$F$27,MATCH(E104,'Tolerance log'!$A$9:$A$27,0)),"0.00")</f>
        <v>31.81 → 31.81</v>
      </c>
      <c r="E104" s="7" t="n">
        <v>10</v>
      </c>
      <c r="F104" s="10" t="n">
        <f aca="false">ABS(INDEX('Tolerance log'!$I$9:$I$27,MATCH(B104,'Tolerance log'!$A$9:$A$27,0))-INDEX('Tolerance log'!$F$9:$F$27,MATCH(E104,'Tolerance log'!$A$9:$A$27,0)))</f>
        <v>0</v>
      </c>
      <c r="G104" s="7"/>
      <c r="H104" s="7"/>
    </row>
    <row r="105" customFormat="false" ht="15" hidden="false" customHeight="false" outlineLevel="0" collapsed="false">
      <c r="A105" s="7" t="n">
        <v>10</v>
      </c>
      <c r="B105" s="7" t="n">
        <v>10</v>
      </c>
      <c r="C105" s="7" t="str">
        <f aca="false">INDEX('Tolerance log'!$B$9:$B$27,MATCH(B105,'Tolerance log'!$A$9:$A$27,0))</f>
        <v>1739 03082026</v>
      </c>
      <c r="D105" s="7" t="str">
        <f aca="false">TEXT(INDEX('Tolerance log'!$I$9:$I$27,MATCH(B105,'Tolerance log'!$A$9:$A$27,0)),"0.00")&amp;" → "&amp;TEXT(INDEX('Tolerance log'!$F$9:$F$27,MATCH(E105,'Tolerance log'!$A$9:$A$27,0)),"0.00")</f>
        <v>31.87 → 31.86</v>
      </c>
      <c r="E105" s="7" t="n">
        <v>9</v>
      </c>
      <c r="F105" s="10" t="n">
        <f aca="false">ABS(INDEX('Tolerance log'!$I$9:$I$27,MATCH(B105,'Tolerance log'!$A$9:$A$27,0))-INDEX('Tolerance log'!$F$9:$F$27,MATCH(E105,'Tolerance log'!$A$9:$A$27,0)))</f>
        <v>0.0100000000000016</v>
      </c>
      <c r="G105" s="7"/>
      <c r="H105" s="7"/>
    </row>
    <row r="106" customFormat="false" ht="15" hidden="false" customHeight="false" outlineLevel="0" collapsed="false">
      <c r="A106" s="7" t="n">
        <v>11</v>
      </c>
      <c r="B106" s="7" t="n">
        <v>9</v>
      </c>
      <c r="C106" s="7" t="str">
        <f aca="false">INDEX('Tolerance log'!$B$9:$B$27,MATCH(B106,'Tolerance log'!$A$9:$A$27,0))</f>
        <v>1830 03082026</v>
      </c>
      <c r="D106" s="7" t="s">
        <v>76</v>
      </c>
      <c r="E106" s="7"/>
      <c r="F106" s="7"/>
      <c r="G106" s="7"/>
      <c r="H106" s="7"/>
    </row>
    <row r="107" customFormat="false" ht="15" hidden="false" customHeight="false" outlineLevel="0" collapsed="false">
      <c r="A107" s="3" t="s">
        <v>77</v>
      </c>
      <c r="B107" s="14" t="n">
        <f aca="false">SUM(F96:F105)</f>
        <v>0.949999999999999</v>
      </c>
      <c r="C107" s="3" t="s">
        <v>78</v>
      </c>
      <c r="D107" s="14" t="n">
        <f aca="false">MAX(F96:F105)</f>
        <v>0.220000000000002</v>
      </c>
    </row>
    <row r="110" customFormat="false" ht="15" hidden="false" customHeight="false" outlineLevel="0" collapsed="false">
      <c r="A110" s="19" t="s">
        <v>86</v>
      </c>
    </row>
    <row r="111" customFormat="false" ht="15" hidden="false" customHeight="false" outlineLevel="0" collapsed="false">
      <c r="A111" s="3" t="s">
        <v>71</v>
      </c>
      <c r="B111" s="12" t="s">
        <v>66</v>
      </c>
    </row>
    <row r="112" customFormat="false" ht="15" hidden="false" customHeight="false" outlineLevel="0" collapsed="false">
      <c r="A112" s="6" t="s">
        <v>72</v>
      </c>
      <c r="B112" s="6" t="s">
        <v>6</v>
      </c>
      <c r="C112" s="6" t="s">
        <v>7</v>
      </c>
      <c r="D112" s="6" t="s">
        <v>73</v>
      </c>
      <c r="E112" s="6" t="s">
        <v>74</v>
      </c>
      <c r="F112" s="6" t="s">
        <v>75</v>
      </c>
    </row>
    <row r="113" customFormat="false" ht="15" hidden="false" customHeight="false" outlineLevel="0" collapsed="false">
      <c r="A113" s="7" t="n">
        <v>1</v>
      </c>
      <c r="B113" s="7" t="n">
        <v>7</v>
      </c>
      <c r="C113" s="7" t="str">
        <f aca="false">INDEX('Tolerance log'!$B$9:$B$27,MATCH(B113,'Tolerance log'!$A$9:$A$27,0))</f>
        <v>1011 030626</v>
      </c>
      <c r="D113" s="7" t="str">
        <f aca="false">TEXT(INDEX('Tolerance log'!$H$9:$H$27,MATCH(B113,'Tolerance log'!$A$9:$A$27,0)),"0.00")&amp;" → "&amp;TEXT(INDEX('Tolerance log'!$E$9:$E$27,MATCH(E113,'Tolerance log'!$A$9:$A$27,0)),"0.00")</f>
        <v>30.75 → 30.89</v>
      </c>
      <c r="E113" s="7" t="n">
        <v>10</v>
      </c>
      <c r="F113" s="10" t="n">
        <f aca="false">ABS(INDEX('Tolerance log'!$H$9:$H$27,MATCH(B113,'Tolerance log'!$A$9:$A$27,0))-INDEX('Tolerance log'!$E$9:$E$27,MATCH(E113,'Tolerance log'!$A$9:$A$27,0)))</f>
        <v>0.140000000000001</v>
      </c>
      <c r="G113" s="7"/>
      <c r="H113" s="7"/>
    </row>
    <row r="114" customFormat="false" ht="15" hidden="false" customHeight="false" outlineLevel="0" collapsed="false">
      <c r="A114" s="7" t="n">
        <v>2</v>
      </c>
      <c r="B114" s="7" t="n">
        <v>10</v>
      </c>
      <c r="C114" s="7" t="str">
        <f aca="false">INDEX('Tolerance log'!$B$9:$B$27,MATCH(B114,'Tolerance log'!$A$9:$A$27,0))</f>
        <v>1739 03082026</v>
      </c>
      <c r="D114" s="7" t="str">
        <f aca="false">TEXT(INDEX('Tolerance log'!$H$9:$H$27,MATCH(B114,'Tolerance log'!$A$9:$A$27,0)),"0.00")&amp;" → "&amp;TEXT(INDEX('Tolerance log'!$E$9:$E$27,MATCH(E114,'Tolerance log'!$A$9:$A$27,0)),"0.00")</f>
        <v>31.74 → 31.76</v>
      </c>
      <c r="E114" s="7" t="n">
        <v>9</v>
      </c>
      <c r="F114" s="10" t="n">
        <f aca="false">ABS(INDEX('Tolerance log'!$H$9:$H$27,MATCH(B114,'Tolerance log'!$A$9:$A$27,0))-INDEX('Tolerance log'!$E$9:$E$27,MATCH(E114,'Tolerance log'!$A$9:$A$27,0)))</f>
        <v>0.0200000000000031</v>
      </c>
      <c r="G114" s="7"/>
      <c r="H114" s="7"/>
    </row>
    <row r="115" customFormat="false" ht="15" hidden="false" customHeight="false" outlineLevel="0" collapsed="false">
      <c r="A115" s="7" t="n">
        <v>3</v>
      </c>
      <c r="B115" s="7" t="n">
        <v>9</v>
      </c>
      <c r="C115" s="7" t="str">
        <f aca="false">INDEX('Tolerance log'!$B$9:$B$27,MATCH(B115,'Tolerance log'!$A$9:$A$27,0))</f>
        <v>1830 03082026</v>
      </c>
      <c r="D115" s="7" t="str">
        <f aca="false">TEXT(INDEX('Tolerance log'!$H$9:$H$27,MATCH(B115,'Tolerance log'!$A$9:$A$27,0)),"0.00")&amp;" → "&amp;TEXT(INDEX('Tolerance log'!$E$9:$E$27,MATCH(E115,'Tolerance log'!$A$9:$A$27,0)),"0.00")</f>
        <v>31.86 → 31.95</v>
      </c>
      <c r="E115" s="7" t="n">
        <v>11</v>
      </c>
      <c r="F115" s="10" t="n">
        <f aca="false">ABS(INDEX('Tolerance log'!$H$9:$H$27,MATCH(B115,'Tolerance log'!$A$9:$A$27,0))-INDEX('Tolerance log'!$E$9:$E$27,MATCH(E115,'Tolerance log'!$A$9:$A$27,0)))</f>
        <v>0.0899999999999999</v>
      </c>
      <c r="G115" s="7"/>
      <c r="H115" s="7"/>
    </row>
    <row r="116" customFormat="false" ht="15" hidden="false" customHeight="false" outlineLevel="0" collapsed="false">
      <c r="A116" s="7" t="n">
        <v>4</v>
      </c>
      <c r="B116" s="7" t="n">
        <v>11</v>
      </c>
      <c r="C116" s="7" t="str">
        <f aca="false">INDEX('Tolerance log'!$B$9:$B$27,MATCH(B116,'Tolerance log'!$A$9:$A$27,0))</f>
        <v>1739 03082026</v>
      </c>
      <c r="D116" s="7" t="str">
        <f aca="false">TEXT(INDEX('Tolerance log'!$H$9:$H$27,MATCH(B116,'Tolerance log'!$A$9:$A$27,0)),"0.00")&amp;" → "&amp;TEXT(INDEX('Tolerance log'!$E$9:$E$27,MATCH(E116,'Tolerance log'!$A$9:$A$27,0)),"0.00")</f>
        <v>32.37 → 32.45</v>
      </c>
      <c r="E116" s="7" t="n">
        <v>8</v>
      </c>
      <c r="F116" s="10" t="n">
        <f aca="false">ABS(INDEX('Tolerance log'!$H$9:$H$27,MATCH(B116,'Tolerance log'!$A$9:$A$27,0))-INDEX('Tolerance log'!$E$9:$E$27,MATCH(E116,'Tolerance log'!$A$9:$A$27,0)))</f>
        <v>0.0800000000000054</v>
      </c>
      <c r="G116" s="7"/>
      <c r="H116" s="7"/>
    </row>
    <row r="117" customFormat="false" ht="15" hidden="false" customHeight="false" outlineLevel="0" collapsed="false">
      <c r="A117" s="7" t="n">
        <v>5</v>
      </c>
      <c r="B117" s="7" t="n">
        <v>8</v>
      </c>
      <c r="C117" s="7" t="str">
        <f aca="false">INDEX('Tolerance log'!$B$9:$B$27,MATCH(B117,'Tolerance log'!$A$9:$A$27,0))</f>
        <v>1008 030626</v>
      </c>
      <c r="D117" s="7" t="str">
        <f aca="false">TEXT(INDEX('Tolerance log'!$H$9:$H$27,MATCH(B117,'Tolerance log'!$A$9:$A$27,0)),"0.00")&amp;" → "&amp;TEXT(INDEX('Tolerance log'!$E$9:$E$27,MATCH(E117,'Tolerance log'!$A$9:$A$27,0)),"0.00")</f>
        <v>31.48 → 31.40</v>
      </c>
      <c r="E117" s="7" t="n">
        <v>12</v>
      </c>
      <c r="F117" s="10" t="n">
        <f aca="false">ABS(INDEX('Tolerance log'!$H$9:$H$27,MATCH(B117,'Tolerance log'!$A$9:$A$27,0))-INDEX('Tolerance log'!$E$9:$E$27,MATCH(E117,'Tolerance log'!$A$9:$A$27,0)))</f>
        <v>0.0800000000000019</v>
      </c>
      <c r="G117" s="7"/>
      <c r="H117" s="7"/>
    </row>
    <row r="118" customFormat="false" ht="15" hidden="false" customHeight="false" outlineLevel="0" collapsed="false">
      <c r="A118" s="7" t="n">
        <v>6</v>
      </c>
      <c r="B118" s="7" t="n">
        <v>12</v>
      </c>
      <c r="C118" s="7" t="str">
        <f aca="false">INDEX('Tolerance log'!$B$9:$B$27,MATCH(B118,'Tolerance log'!$A$9:$A$27,0))</f>
        <v>0741 030626</v>
      </c>
      <c r="D118" s="7" t="str">
        <f aca="false">TEXT(INDEX('Tolerance log'!$H$9:$H$27,MATCH(B118,'Tolerance log'!$A$9:$A$27,0)),"0.00")&amp;" → "&amp;TEXT(INDEX('Tolerance log'!$E$9:$E$27,MATCH(E118,'Tolerance log'!$A$9:$A$27,0)),"0.00")</f>
        <v>31.58 → 31.61</v>
      </c>
      <c r="E118" s="7" t="n">
        <v>14</v>
      </c>
      <c r="F118" s="10" t="n">
        <f aca="false">ABS(INDEX('Tolerance log'!$H$9:$H$27,MATCH(B118,'Tolerance log'!$A$9:$A$27,0))-INDEX('Tolerance log'!$E$9:$E$27,MATCH(E118,'Tolerance log'!$A$9:$A$27,0)))</f>
        <v>0.0300000000000011</v>
      </c>
      <c r="G118" s="7"/>
      <c r="H118" s="7"/>
    </row>
    <row r="119" customFormat="false" ht="15" hidden="false" customHeight="false" outlineLevel="0" collapsed="false">
      <c r="A119" s="7" t="n">
        <v>7</v>
      </c>
      <c r="B119" s="7" t="n">
        <v>14</v>
      </c>
      <c r="C119" s="7" t="str">
        <f aca="false">INDEX('Tolerance log'!$B$9:$B$27,MATCH(B119,'Tolerance log'!$A$9:$A$27,0))</f>
        <v>1012 030626</v>
      </c>
      <c r="D119" s="7" t="str">
        <f aca="false">TEXT(INDEX('Tolerance log'!$H$9:$H$27,MATCH(B119,'Tolerance log'!$A$9:$A$27,0)),"0.00")&amp;" → "&amp;TEXT(INDEX('Tolerance log'!$E$9:$E$27,MATCH(E119,'Tolerance log'!$A$9:$A$27,0)),"0.00")</f>
        <v>31.53 → 31.24</v>
      </c>
      <c r="E119" s="7" t="n">
        <v>16</v>
      </c>
      <c r="F119" s="10" t="n">
        <f aca="false">ABS(INDEX('Tolerance log'!$H$9:$H$27,MATCH(B119,'Tolerance log'!$A$9:$A$27,0))-INDEX('Tolerance log'!$E$9:$E$27,MATCH(E119,'Tolerance log'!$A$9:$A$27,0)))</f>
        <v>0.290000000000003</v>
      </c>
      <c r="G119" s="7"/>
      <c r="H119" s="7"/>
    </row>
    <row r="120" customFormat="false" ht="15" hidden="false" customHeight="false" outlineLevel="0" collapsed="false">
      <c r="A120" s="7" t="n">
        <v>8</v>
      </c>
      <c r="B120" s="7" t="n">
        <v>16</v>
      </c>
      <c r="C120" s="7" t="str">
        <f aca="false">INDEX('Tolerance log'!$B$9:$B$27,MATCH(B120,'Tolerance log'!$A$9:$A$27,0))</f>
        <v>1025 030626</v>
      </c>
      <c r="D120" s="7" t="str">
        <f aca="false">TEXT(INDEX('Tolerance log'!$H$9:$H$27,MATCH(B120,'Tolerance log'!$A$9:$A$27,0)),"0.00")&amp;" → "&amp;TEXT(INDEX('Tolerance log'!$E$9:$E$27,MATCH(E120,'Tolerance log'!$A$9:$A$27,0)),"0.00")</f>
        <v>31.29 → 31.09</v>
      </c>
      <c r="E120" s="7" t="n">
        <v>17</v>
      </c>
      <c r="F120" s="10" t="n">
        <f aca="false">ABS(INDEX('Tolerance log'!$H$9:$H$27,MATCH(B120,'Tolerance log'!$A$9:$A$27,0))-INDEX('Tolerance log'!$E$9:$E$27,MATCH(E120,'Tolerance log'!$A$9:$A$27,0)))</f>
        <v>0.199999999999999</v>
      </c>
      <c r="G120" s="7"/>
      <c r="H120" s="7"/>
    </row>
    <row r="121" customFormat="false" ht="15" hidden="false" customHeight="false" outlineLevel="0" collapsed="false">
      <c r="A121" s="7" t="n">
        <v>9</v>
      </c>
      <c r="B121" s="7" t="n">
        <v>17</v>
      </c>
      <c r="C121" s="7" t="str">
        <f aca="false">INDEX('Tolerance log'!$B$9:$B$27,MATCH(B121,'Tolerance log'!$A$9:$A$27,0))</f>
        <v>1018 030626</v>
      </c>
      <c r="D121" s="7" t="str">
        <f aca="false">TEXT(INDEX('Tolerance log'!$H$9:$H$27,MATCH(B121,'Tolerance log'!$A$9:$A$27,0)),"0.00")&amp;" → "&amp;TEXT(INDEX('Tolerance log'!$E$9:$E$27,MATCH(E121,'Tolerance log'!$A$9:$A$27,0)),"0.00")</f>
        <v>31.20 → 31.06</v>
      </c>
      <c r="E121" s="7" t="n">
        <v>15</v>
      </c>
      <c r="F121" s="10" t="n">
        <f aca="false">ABS(INDEX('Tolerance log'!$H$9:$H$27,MATCH(B121,'Tolerance log'!$A$9:$A$27,0))-INDEX('Tolerance log'!$E$9:$E$27,MATCH(E121,'Tolerance log'!$A$9:$A$27,0)))</f>
        <v>0.140000000000001</v>
      </c>
      <c r="G121" s="7"/>
      <c r="H121" s="7"/>
    </row>
    <row r="122" customFormat="false" ht="15" hidden="false" customHeight="false" outlineLevel="0" collapsed="false">
      <c r="A122" s="7" t="n">
        <v>10</v>
      </c>
      <c r="B122" s="7" t="n">
        <v>15</v>
      </c>
      <c r="C122" s="7" t="str">
        <f aca="false">INDEX('Tolerance log'!$B$9:$B$27,MATCH(B122,'Tolerance log'!$A$9:$A$27,0))</f>
        <v>1020 030626</v>
      </c>
      <c r="D122" s="7" t="str">
        <f aca="false">TEXT(INDEX('Tolerance log'!$H$9:$H$27,MATCH(B122,'Tolerance log'!$A$9:$A$27,0)),"0.00")&amp;" → "&amp;TEXT(INDEX('Tolerance log'!$E$9:$E$27,MATCH(E122,'Tolerance log'!$A$9:$A$27,0)),"0.00")</f>
        <v>31.57 → 31.59</v>
      </c>
      <c r="E122" s="7" t="n">
        <v>13</v>
      </c>
      <c r="F122" s="10" t="n">
        <f aca="false">ABS(INDEX('Tolerance log'!$H$9:$H$27,MATCH(B122,'Tolerance log'!$A$9:$A$27,0))-INDEX('Tolerance log'!$E$9:$E$27,MATCH(E122,'Tolerance log'!$A$9:$A$27,0)))</f>
        <v>0.0199999999999996</v>
      </c>
      <c r="G122" s="7"/>
      <c r="H122" s="7"/>
    </row>
    <row r="123" customFormat="false" ht="15" hidden="false" customHeight="false" outlineLevel="0" collapsed="false">
      <c r="A123" s="7" t="n">
        <v>11</v>
      </c>
      <c r="B123" s="7" t="n">
        <v>13</v>
      </c>
      <c r="C123" s="7" t="str">
        <f aca="false">INDEX('Tolerance log'!$B$9:$B$27,MATCH(B123,'Tolerance log'!$A$9:$A$27,0))</f>
        <v>1029 030626</v>
      </c>
      <c r="D123" s="7" t="s">
        <v>76</v>
      </c>
      <c r="E123" s="7"/>
      <c r="F123" s="7"/>
      <c r="G123" s="7"/>
      <c r="H123" s="7"/>
    </row>
    <row r="124" customFormat="false" ht="15" hidden="false" customHeight="false" outlineLevel="0" collapsed="false">
      <c r="A124" s="3" t="s">
        <v>77</v>
      </c>
      <c r="B124" s="14" t="n">
        <f aca="false">SUM(F113:F122)</f>
        <v>1.09000000000001</v>
      </c>
      <c r="C124" s="3" t="s">
        <v>78</v>
      </c>
      <c r="D124" s="14" t="n">
        <f aca="false">MAX(F113:F122)</f>
        <v>0.290000000000003</v>
      </c>
    </row>
    <row r="126" customFormat="false" ht="15" hidden="false" customHeight="false" outlineLevel="0" collapsed="false">
      <c r="A126" s="3" t="s">
        <v>79</v>
      </c>
      <c r="B126" s="12" t="s">
        <v>87</v>
      </c>
    </row>
    <row r="127" customFormat="false" ht="15" hidden="false" customHeight="false" outlineLevel="0" collapsed="false">
      <c r="A127" s="6" t="s">
        <v>72</v>
      </c>
      <c r="B127" s="6" t="s">
        <v>6</v>
      </c>
      <c r="C127" s="6" t="s">
        <v>7</v>
      </c>
      <c r="D127" s="6" t="s">
        <v>73</v>
      </c>
      <c r="E127" s="6" t="s">
        <v>74</v>
      </c>
      <c r="F127" s="6" t="s">
        <v>75</v>
      </c>
    </row>
    <row r="128" customFormat="false" ht="15" hidden="false" customHeight="false" outlineLevel="0" collapsed="false">
      <c r="A128" s="7" t="n">
        <v>1</v>
      </c>
      <c r="B128" s="7" t="n">
        <v>7</v>
      </c>
      <c r="C128" s="7" t="str">
        <f aca="false">INDEX('Tolerance log'!$B$9:$B$27,MATCH(B128,'Tolerance log'!$A$9:$A$27,0))</f>
        <v>1011 030626</v>
      </c>
      <c r="D128" s="7" t="str">
        <f aca="false">TEXT(INDEX('Tolerance log'!$H$9:$H$27,MATCH(B128,'Tolerance log'!$A$9:$A$27,0)),"0.00")&amp;" → "&amp;TEXT(INDEX('Tolerance log'!$E$9:$E$27,MATCH(E128,'Tolerance log'!$A$9:$A$27,0)),"0.00")</f>
        <v>30.75 → 30.89</v>
      </c>
      <c r="E128" s="7" t="n">
        <v>10</v>
      </c>
      <c r="F128" s="10" t="n">
        <f aca="false">ABS(INDEX('Tolerance log'!$H$9:$H$27,MATCH(B128,'Tolerance log'!$A$9:$A$27,0))-INDEX('Tolerance log'!$E$9:$E$27,MATCH(E128,'Tolerance log'!$A$9:$A$27,0)))</f>
        <v>0.140000000000001</v>
      </c>
      <c r="G128" s="7"/>
      <c r="H128" s="7"/>
    </row>
    <row r="129" customFormat="false" ht="15" hidden="false" customHeight="false" outlineLevel="0" collapsed="false">
      <c r="A129" s="7" t="n">
        <v>2</v>
      </c>
      <c r="B129" s="7" t="n">
        <v>10</v>
      </c>
      <c r="C129" s="7" t="str">
        <f aca="false">INDEX('Tolerance log'!$B$9:$B$27,MATCH(B129,'Tolerance log'!$A$9:$A$27,0))</f>
        <v>1739 03082026</v>
      </c>
      <c r="D129" s="7" t="str">
        <f aca="false">TEXT(INDEX('Tolerance log'!$H$9:$H$27,MATCH(B129,'Tolerance log'!$A$9:$A$27,0)),"0.00")&amp;" → "&amp;TEXT(INDEX('Tolerance log'!$E$9:$E$27,MATCH(E129,'Tolerance log'!$A$9:$A$27,0)),"0.00")</f>
        <v>31.74 → 31.76</v>
      </c>
      <c r="E129" s="7" t="n">
        <v>9</v>
      </c>
      <c r="F129" s="10" t="n">
        <f aca="false">ABS(INDEX('Tolerance log'!$H$9:$H$27,MATCH(B129,'Tolerance log'!$A$9:$A$27,0))-INDEX('Tolerance log'!$E$9:$E$27,MATCH(E129,'Tolerance log'!$A$9:$A$27,0)))</f>
        <v>0.0200000000000031</v>
      </c>
      <c r="G129" s="7"/>
      <c r="H129" s="7"/>
    </row>
    <row r="130" customFormat="false" ht="15" hidden="false" customHeight="false" outlineLevel="0" collapsed="false">
      <c r="A130" s="7" t="n">
        <v>3</v>
      </c>
      <c r="B130" s="7" t="n">
        <v>9</v>
      </c>
      <c r="C130" s="7" t="str">
        <f aca="false">INDEX('Tolerance log'!$B$9:$B$27,MATCH(B130,'Tolerance log'!$A$9:$A$27,0))</f>
        <v>1830 03082026</v>
      </c>
      <c r="D130" s="7" t="str">
        <f aca="false">TEXT(INDEX('Tolerance log'!$H$9:$H$27,MATCH(B130,'Tolerance log'!$A$9:$A$27,0)),"0.00")&amp;" → "&amp;TEXT(INDEX('Tolerance log'!$E$9:$E$27,MATCH(E130,'Tolerance log'!$A$9:$A$27,0)),"0.00")</f>
        <v>31.86 → 31.95</v>
      </c>
      <c r="E130" s="7" t="n">
        <v>11</v>
      </c>
      <c r="F130" s="10" t="n">
        <f aca="false">ABS(INDEX('Tolerance log'!$H$9:$H$27,MATCH(B130,'Tolerance log'!$A$9:$A$27,0))-INDEX('Tolerance log'!$E$9:$E$27,MATCH(E130,'Tolerance log'!$A$9:$A$27,0)))</f>
        <v>0.0899999999999999</v>
      </c>
      <c r="G130" s="7"/>
      <c r="H130" s="7"/>
    </row>
    <row r="131" customFormat="false" ht="15" hidden="false" customHeight="false" outlineLevel="0" collapsed="false">
      <c r="A131" s="7" t="n">
        <v>4</v>
      </c>
      <c r="B131" s="7" t="n">
        <v>11</v>
      </c>
      <c r="C131" s="7" t="str">
        <f aca="false">INDEX('Tolerance log'!$B$9:$B$27,MATCH(B131,'Tolerance log'!$A$9:$A$27,0))</f>
        <v>1739 03082026</v>
      </c>
      <c r="D131" s="7" t="str">
        <f aca="false">TEXT(INDEX('Tolerance log'!$H$9:$H$27,MATCH(B131,'Tolerance log'!$A$9:$A$27,0)),"0.00")&amp;" → "&amp;TEXT(INDEX('Tolerance log'!$E$9:$E$27,MATCH(E131,'Tolerance log'!$A$9:$A$27,0)),"0.00")</f>
        <v>32.37 → 32.45</v>
      </c>
      <c r="E131" s="7" t="n">
        <v>8</v>
      </c>
      <c r="F131" s="10" t="n">
        <f aca="false">ABS(INDEX('Tolerance log'!$H$9:$H$27,MATCH(B131,'Tolerance log'!$A$9:$A$27,0))-INDEX('Tolerance log'!$E$9:$E$27,MATCH(E131,'Tolerance log'!$A$9:$A$27,0)))</f>
        <v>0.0800000000000054</v>
      </c>
      <c r="G131" s="7"/>
      <c r="H131" s="7"/>
    </row>
    <row r="132" customFormat="false" ht="15" hidden="false" customHeight="false" outlineLevel="0" collapsed="false">
      <c r="A132" s="7" t="n">
        <v>5</v>
      </c>
      <c r="B132" s="7" t="n">
        <v>8</v>
      </c>
      <c r="C132" s="7" t="str">
        <f aca="false">INDEX('Tolerance log'!$B$9:$B$27,MATCH(B132,'Tolerance log'!$A$9:$A$27,0))</f>
        <v>1008 030626</v>
      </c>
      <c r="D132" s="7" t="str">
        <f aca="false">TEXT(INDEX('Tolerance log'!$H$9:$H$27,MATCH(B132,'Tolerance log'!$A$9:$A$27,0)),"0.00")&amp;" → "&amp;TEXT(INDEX('Tolerance log'!$E$9:$E$27,MATCH(E132,'Tolerance log'!$A$9:$A$27,0)),"0.00")</f>
        <v>31.48 → 31.24</v>
      </c>
      <c r="E132" s="7" t="n">
        <v>16</v>
      </c>
      <c r="F132" s="10" t="n">
        <f aca="false">ABS(INDEX('Tolerance log'!$H$9:$H$27,MATCH(B132,'Tolerance log'!$A$9:$A$27,0))-INDEX('Tolerance log'!$E$9:$E$27,MATCH(E132,'Tolerance log'!$A$9:$A$27,0)))</f>
        <v>0.240000000000002</v>
      </c>
      <c r="G132" s="7"/>
      <c r="H132" s="7"/>
    </row>
    <row r="133" customFormat="false" ht="15" hidden="false" customHeight="false" outlineLevel="0" collapsed="false">
      <c r="A133" s="7" t="n">
        <v>6</v>
      </c>
      <c r="B133" s="7" t="n">
        <v>16</v>
      </c>
      <c r="C133" s="7" t="str">
        <f aca="false">INDEX('Tolerance log'!$B$9:$B$27,MATCH(B133,'Tolerance log'!$A$9:$A$27,0))</f>
        <v>1025 030626</v>
      </c>
      <c r="D133" s="7" t="str">
        <f aca="false">TEXT(INDEX('Tolerance log'!$H$9:$H$27,MATCH(B133,'Tolerance log'!$A$9:$A$27,0)),"0.00")&amp;" → "&amp;TEXT(INDEX('Tolerance log'!$E$9:$E$27,MATCH(E133,'Tolerance log'!$A$9:$A$27,0)),"0.00")</f>
        <v>31.29 → 31.09</v>
      </c>
      <c r="E133" s="7" t="n">
        <v>17</v>
      </c>
      <c r="F133" s="10" t="n">
        <f aca="false">ABS(INDEX('Tolerance log'!$H$9:$H$27,MATCH(B133,'Tolerance log'!$A$9:$A$27,0))-INDEX('Tolerance log'!$E$9:$E$27,MATCH(E133,'Tolerance log'!$A$9:$A$27,0)))</f>
        <v>0.199999999999999</v>
      </c>
      <c r="G133" s="7"/>
      <c r="H133" s="7"/>
    </row>
    <row r="134" customFormat="false" ht="15" hidden="false" customHeight="false" outlineLevel="0" collapsed="false">
      <c r="A134" s="7" t="n">
        <v>7</v>
      </c>
      <c r="B134" s="7" t="n">
        <v>17</v>
      </c>
      <c r="C134" s="7" t="str">
        <f aca="false">INDEX('Tolerance log'!$B$9:$B$27,MATCH(B134,'Tolerance log'!$A$9:$A$27,0))</f>
        <v>1018 030626</v>
      </c>
      <c r="D134" s="7" t="str">
        <f aca="false">TEXT(INDEX('Tolerance log'!$H$9:$H$27,MATCH(B134,'Tolerance log'!$A$9:$A$27,0)),"0.00")&amp;" → "&amp;TEXT(INDEX('Tolerance log'!$E$9:$E$27,MATCH(E134,'Tolerance log'!$A$9:$A$27,0)),"0.00")</f>
        <v>31.20 → 31.06</v>
      </c>
      <c r="E134" s="7" t="n">
        <v>15</v>
      </c>
      <c r="F134" s="10" t="n">
        <f aca="false">ABS(INDEX('Tolerance log'!$H$9:$H$27,MATCH(B134,'Tolerance log'!$A$9:$A$27,0))-INDEX('Tolerance log'!$E$9:$E$27,MATCH(E134,'Tolerance log'!$A$9:$A$27,0)))</f>
        <v>0.140000000000001</v>
      </c>
      <c r="G134" s="7"/>
      <c r="H134" s="7"/>
    </row>
    <row r="135" customFormat="false" ht="15" hidden="false" customHeight="false" outlineLevel="0" collapsed="false">
      <c r="A135" s="7" t="n">
        <v>8</v>
      </c>
      <c r="B135" s="7" t="n">
        <v>15</v>
      </c>
      <c r="C135" s="7" t="str">
        <f aca="false">INDEX('Tolerance log'!$B$9:$B$27,MATCH(B135,'Tolerance log'!$A$9:$A$27,0))</f>
        <v>1020 030626</v>
      </c>
      <c r="D135" s="7" t="str">
        <f aca="false">TEXT(INDEX('Tolerance log'!$H$9:$H$27,MATCH(B135,'Tolerance log'!$A$9:$A$27,0)),"0.00")&amp;" → "&amp;TEXT(INDEX('Tolerance log'!$E$9:$E$27,MATCH(E135,'Tolerance log'!$A$9:$A$27,0)),"0.00")</f>
        <v>31.57 → 31.61</v>
      </c>
      <c r="E135" s="7" t="n">
        <v>14</v>
      </c>
      <c r="F135" s="10" t="n">
        <f aca="false">ABS(INDEX('Tolerance log'!$H$9:$H$27,MATCH(B135,'Tolerance log'!$A$9:$A$27,0))-INDEX('Tolerance log'!$E$9:$E$27,MATCH(E135,'Tolerance log'!$A$9:$A$27,0)))</f>
        <v>0.0399999999999992</v>
      </c>
      <c r="G135" s="7"/>
      <c r="H135" s="7"/>
    </row>
    <row r="136" customFormat="false" ht="15" hidden="false" customHeight="false" outlineLevel="0" collapsed="false">
      <c r="A136" s="7" t="n">
        <v>9</v>
      </c>
      <c r="B136" s="7" t="n">
        <v>14</v>
      </c>
      <c r="C136" s="7" t="str">
        <f aca="false">INDEX('Tolerance log'!$B$9:$B$27,MATCH(B136,'Tolerance log'!$A$9:$A$27,0))</f>
        <v>1012 030626</v>
      </c>
      <c r="D136" s="7" t="str">
        <f aca="false">TEXT(INDEX('Tolerance log'!$H$9:$H$27,MATCH(B136,'Tolerance log'!$A$9:$A$27,0)),"0.00")&amp;" → "&amp;TEXT(INDEX('Tolerance log'!$E$9:$E$27,MATCH(E136,'Tolerance log'!$A$9:$A$27,0)),"0.00")</f>
        <v>31.53 → 31.40</v>
      </c>
      <c r="E136" s="7" t="n">
        <v>12</v>
      </c>
      <c r="F136" s="10" t="n">
        <f aca="false">ABS(INDEX('Tolerance log'!$H$9:$H$27,MATCH(B136,'Tolerance log'!$A$9:$A$27,0))-INDEX('Tolerance log'!$E$9:$E$27,MATCH(E136,'Tolerance log'!$A$9:$A$27,0)))</f>
        <v>0.130000000000003</v>
      </c>
      <c r="G136" s="7"/>
      <c r="H136" s="7"/>
    </row>
    <row r="137" customFormat="false" ht="15" hidden="false" customHeight="false" outlineLevel="0" collapsed="false">
      <c r="A137" s="7" t="n">
        <v>10</v>
      </c>
      <c r="B137" s="7" t="n">
        <v>12</v>
      </c>
      <c r="C137" s="7" t="str">
        <f aca="false">INDEX('Tolerance log'!$B$9:$B$27,MATCH(B137,'Tolerance log'!$A$9:$A$27,0))</f>
        <v>0741 030626</v>
      </c>
      <c r="D137" s="7" t="str">
        <f aca="false">TEXT(INDEX('Tolerance log'!$H$9:$H$27,MATCH(B137,'Tolerance log'!$A$9:$A$27,0)),"0.00")&amp;" → "&amp;TEXT(INDEX('Tolerance log'!$E$9:$E$27,MATCH(E137,'Tolerance log'!$A$9:$A$27,0)),"0.00")</f>
        <v>31.58 → 31.59</v>
      </c>
      <c r="E137" s="7" t="n">
        <v>13</v>
      </c>
      <c r="F137" s="10" t="n">
        <f aca="false">ABS(INDEX('Tolerance log'!$H$9:$H$27,MATCH(B137,'Tolerance log'!$A$9:$A$27,0))-INDEX('Tolerance log'!$E$9:$E$27,MATCH(E137,'Tolerance log'!$A$9:$A$27,0)))</f>
        <v>0.0100000000000016</v>
      </c>
      <c r="G137" s="7"/>
      <c r="H137" s="7"/>
    </row>
    <row r="138" customFormat="false" ht="15" hidden="false" customHeight="false" outlineLevel="0" collapsed="false">
      <c r="A138" s="7" t="n">
        <v>11</v>
      </c>
      <c r="B138" s="7" t="n">
        <v>13</v>
      </c>
      <c r="C138" s="7" t="str">
        <f aca="false">INDEX('Tolerance log'!$B$9:$B$27,MATCH(B138,'Tolerance log'!$A$9:$A$27,0))</f>
        <v>1029 030626</v>
      </c>
      <c r="D138" s="7" t="s">
        <v>76</v>
      </c>
      <c r="E138" s="7"/>
      <c r="F138" s="7"/>
      <c r="G138" s="7"/>
      <c r="H138" s="7"/>
    </row>
    <row r="139" customFormat="false" ht="15" hidden="false" customHeight="false" outlineLevel="0" collapsed="false">
      <c r="A139" s="3" t="s">
        <v>77</v>
      </c>
      <c r="B139" s="14" t="n">
        <f aca="false">SUM(F128:F137)</f>
        <v>1.09000000000001</v>
      </c>
      <c r="C139" s="3" t="s">
        <v>78</v>
      </c>
      <c r="D139" s="14" t="n">
        <f aca="false">MAX(F128:F137)</f>
        <v>0.240000000000002</v>
      </c>
    </row>
    <row r="141" customFormat="false" ht="15" hidden="false" customHeight="false" outlineLevel="0" collapsed="false">
      <c r="A141" s="3" t="s">
        <v>81</v>
      </c>
      <c r="B141" s="12" t="s">
        <v>88</v>
      </c>
    </row>
    <row r="142" customFormat="false" ht="15" hidden="false" customHeight="false" outlineLevel="0" collapsed="false">
      <c r="A142" s="6" t="s">
        <v>72</v>
      </c>
      <c r="B142" s="6" t="s">
        <v>6</v>
      </c>
      <c r="C142" s="6" t="s">
        <v>7</v>
      </c>
      <c r="D142" s="6" t="s">
        <v>73</v>
      </c>
      <c r="E142" s="6" t="s">
        <v>74</v>
      </c>
      <c r="F142" s="6" t="s">
        <v>75</v>
      </c>
    </row>
    <row r="143" customFormat="false" ht="15" hidden="false" customHeight="false" outlineLevel="0" collapsed="false">
      <c r="A143" s="7" t="n">
        <v>1</v>
      </c>
      <c r="B143" s="7" t="n">
        <v>15</v>
      </c>
      <c r="C143" s="7" t="str">
        <f aca="false">INDEX('Tolerance log'!$B$9:$B$27,MATCH(B143,'Tolerance log'!$A$9:$A$27,0))</f>
        <v>1020 030626</v>
      </c>
      <c r="D143" s="7" t="str">
        <f aca="false">TEXT(INDEX('Tolerance log'!$H$9:$H$27,MATCH(B143,'Tolerance log'!$A$9:$A$27,0)),"0.00")&amp;" → "&amp;TEXT(INDEX('Tolerance log'!$E$9:$E$27,MATCH(E143,'Tolerance log'!$A$9:$A$27,0)),"0.00")</f>
        <v>31.57 → 31.61</v>
      </c>
      <c r="E143" s="7" t="n">
        <v>14</v>
      </c>
      <c r="F143" s="10" t="n">
        <f aca="false">ABS(INDEX('Tolerance log'!$H$9:$H$27,MATCH(B143,'Tolerance log'!$A$9:$A$27,0))-INDEX('Tolerance log'!$E$9:$E$27,MATCH(E143,'Tolerance log'!$A$9:$A$27,0)))</f>
        <v>0.0399999999999992</v>
      </c>
      <c r="G143" s="7"/>
      <c r="H143" s="7"/>
    </row>
    <row r="144" customFormat="false" ht="15" hidden="false" customHeight="false" outlineLevel="0" collapsed="false">
      <c r="A144" s="7" t="n">
        <v>2</v>
      </c>
      <c r="B144" s="7" t="n">
        <v>14</v>
      </c>
      <c r="C144" s="7" t="str">
        <f aca="false">INDEX('Tolerance log'!$B$9:$B$27,MATCH(B144,'Tolerance log'!$A$9:$A$27,0))</f>
        <v>1012 030626</v>
      </c>
      <c r="D144" s="7" t="str">
        <f aca="false">TEXT(INDEX('Tolerance log'!$H$9:$H$27,MATCH(B144,'Tolerance log'!$A$9:$A$27,0)),"0.00")&amp;" → "&amp;TEXT(INDEX('Tolerance log'!$E$9:$E$27,MATCH(E144,'Tolerance log'!$A$9:$A$27,0)),"0.00")</f>
        <v>31.53 → 31.24</v>
      </c>
      <c r="E144" s="7" t="n">
        <v>16</v>
      </c>
      <c r="F144" s="10" t="n">
        <f aca="false">ABS(INDEX('Tolerance log'!$H$9:$H$27,MATCH(B144,'Tolerance log'!$A$9:$A$27,0))-INDEX('Tolerance log'!$E$9:$E$27,MATCH(E144,'Tolerance log'!$A$9:$A$27,0)))</f>
        <v>0.290000000000003</v>
      </c>
      <c r="G144" s="7"/>
      <c r="H144" s="7"/>
    </row>
    <row r="145" customFormat="false" ht="15" hidden="false" customHeight="false" outlineLevel="0" collapsed="false">
      <c r="A145" s="7" t="n">
        <v>3</v>
      </c>
      <c r="B145" s="7" t="n">
        <v>16</v>
      </c>
      <c r="C145" s="7" t="str">
        <f aca="false">INDEX('Tolerance log'!$B$9:$B$27,MATCH(B145,'Tolerance log'!$A$9:$A$27,0))</f>
        <v>1025 030626</v>
      </c>
      <c r="D145" s="7" t="str">
        <f aca="false">TEXT(INDEX('Tolerance log'!$H$9:$H$27,MATCH(B145,'Tolerance log'!$A$9:$A$27,0)),"0.00")&amp;" → "&amp;TEXT(INDEX('Tolerance log'!$E$9:$E$27,MATCH(E145,'Tolerance log'!$A$9:$A$27,0)),"0.00")</f>
        <v>31.29 → 31.09</v>
      </c>
      <c r="E145" s="7" t="n">
        <v>17</v>
      </c>
      <c r="F145" s="10" t="n">
        <f aca="false">ABS(INDEX('Tolerance log'!$H$9:$H$27,MATCH(B145,'Tolerance log'!$A$9:$A$27,0))-INDEX('Tolerance log'!$E$9:$E$27,MATCH(E145,'Tolerance log'!$A$9:$A$27,0)))</f>
        <v>0.199999999999999</v>
      </c>
      <c r="G145" s="7"/>
      <c r="H145" s="7"/>
    </row>
    <row r="146" customFormat="false" ht="15" hidden="false" customHeight="false" outlineLevel="0" collapsed="false">
      <c r="A146" s="7" t="n">
        <v>4</v>
      </c>
      <c r="B146" s="7" t="n">
        <v>17</v>
      </c>
      <c r="C146" s="7" t="str">
        <f aca="false">INDEX('Tolerance log'!$B$9:$B$27,MATCH(B146,'Tolerance log'!$A$9:$A$27,0))</f>
        <v>1018 030626</v>
      </c>
      <c r="D146" s="7" t="str">
        <f aca="false">TEXT(INDEX('Tolerance log'!$H$9:$H$27,MATCH(B146,'Tolerance log'!$A$9:$A$27,0)),"0.00")&amp;" → "&amp;TEXT(INDEX('Tolerance log'!$E$9:$E$27,MATCH(E146,'Tolerance log'!$A$9:$A$27,0)),"0.00")</f>
        <v>31.20 → 31.06</v>
      </c>
      <c r="E146" s="7" t="n">
        <v>7</v>
      </c>
      <c r="F146" s="10" t="n">
        <f aca="false">ABS(INDEX('Tolerance log'!$H$9:$H$27,MATCH(B146,'Tolerance log'!$A$9:$A$27,0))-INDEX('Tolerance log'!$E$9:$E$27,MATCH(E146,'Tolerance log'!$A$9:$A$27,0)))</f>
        <v>0.140000000000001</v>
      </c>
      <c r="G146" s="7"/>
      <c r="H146" s="7"/>
    </row>
    <row r="147" customFormat="false" ht="15" hidden="false" customHeight="false" outlineLevel="0" collapsed="false">
      <c r="A147" s="7" t="n">
        <v>5</v>
      </c>
      <c r="B147" s="7" t="n">
        <v>7</v>
      </c>
      <c r="C147" s="7" t="str">
        <f aca="false">INDEX('Tolerance log'!$B$9:$B$27,MATCH(B147,'Tolerance log'!$A$9:$A$27,0))</f>
        <v>1011 030626</v>
      </c>
      <c r="D147" s="7" t="str">
        <f aca="false">TEXT(INDEX('Tolerance log'!$H$9:$H$27,MATCH(B147,'Tolerance log'!$A$9:$A$27,0)),"0.00")&amp;" → "&amp;TEXT(INDEX('Tolerance log'!$E$9:$E$27,MATCH(E147,'Tolerance log'!$A$9:$A$27,0)),"0.00")</f>
        <v>30.75 → 30.89</v>
      </c>
      <c r="E147" s="7" t="n">
        <v>10</v>
      </c>
      <c r="F147" s="10" t="n">
        <f aca="false">ABS(INDEX('Tolerance log'!$H$9:$H$27,MATCH(B147,'Tolerance log'!$A$9:$A$27,0))-INDEX('Tolerance log'!$E$9:$E$27,MATCH(E147,'Tolerance log'!$A$9:$A$27,0)))</f>
        <v>0.140000000000001</v>
      </c>
      <c r="G147" s="7"/>
      <c r="H147" s="7"/>
    </row>
    <row r="148" customFormat="false" ht="15" hidden="false" customHeight="false" outlineLevel="0" collapsed="false">
      <c r="A148" s="7" t="n">
        <v>6</v>
      </c>
      <c r="B148" s="7" t="n">
        <v>10</v>
      </c>
      <c r="C148" s="7" t="str">
        <f aca="false">INDEX('Tolerance log'!$B$9:$B$27,MATCH(B148,'Tolerance log'!$A$9:$A$27,0))</f>
        <v>1739 03082026</v>
      </c>
      <c r="D148" s="7" t="str">
        <f aca="false">TEXT(INDEX('Tolerance log'!$H$9:$H$27,MATCH(B148,'Tolerance log'!$A$9:$A$27,0)),"0.00")&amp;" → "&amp;TEXT(INDEX('Tolerance log'!$E$9:$E$27,MATCH(E148,'Tolerance log'!$A$9:$A$27,0)),"0.00")</f>
        <v>31.74 → 31.76</v>
      </c>
      <c r="E148" s="7" t="n">
        <v>9</v>
      </c>
      <c r="F148" s="10" t="n">
        <f aca="false">ABS(INDEX('Tolerance log'!$H$9:$H$27,MATCH(B148,'Tolerance log'!$A$9:$A$27,0))-INDEX('Tolerance log'!$E$9:$E$27,MATCH(E148,'Tolerance log'!$A$9:$A$27,0)))</f>
        <v>0.0200000000000031</v>
      </c>
      <c r="G148" s="7"/>
      <c r="H148" s="7"/>
    </row>
    <row r="149" customFormat="false" ht="15" hidden="false" customHeight="false" outlineLevel="0" collapsed="false">
      <c r="A149" s="7" t="n">
        <v>7</v>
      </c>
      <c r="B149" s="7" t="n">
        <v>9</v>
      </c>
      <c r="C149" s="7" t="str">
        <f aca="false">INDEX('Tolerance log'!$B$9:$B$27,MATCH(B149,'Tolerance log'!$A$9:$A$27,0))</f>
        <v>1830 03082026</v>
      </c>
      <c r="D149" s="7" t="str">
        <f aca="false">TEXT(INDEX('Tolerance log'!$H$9:$H$27,MATCH(B149,'Tolerance log'!$A$9:$A$27,0)),"0.00")&amp;" → "&amp;TEXT(INDEX('Tolerance log'!$E$9:$E$27,MATCH(E149,'Tolerance log'!$A$9:$A$27,0)),"0.00")</f>
        <v>31.86 → 31.95</v>
      </c>
      <c r="E149" s="7" t="n">
        <v>11</v>
      </c>
      <c r="F149" s="10" t="n">
        <f aca="false">ABS(INDEX('Tolerance log'!$H$9:$H$27,MATCH(B149,'Tolerance log'!$A$9:$A$27,0))-INDEX('Tolerance log'!$E$9:$E$27,MATCH(E149,'Tolerance log'!$A$9:$A$27,0)))</f>
        <v>0.0899999999999999</v>
      </c>
      <c r="G149" s="7"/>
      <c r="H149" s="7"/>
    </row>
    <row r="150" customFormat="false" ht="15" hidden="false" customHeight="false" outlineLevel="0" collapsed="false">
      <c r="A150" s="7" t="n">
        <v>8</v>
      </c>
      <c r="B150" s="7" t="n">
        <v>11</v>
      </c>
      <c r="C150" s="7" t="str">
        <f aca="false">INDEX('Tolerance log'!$B$9:$B$27,MATCH(B150,'Tolerance log'!$A$9:$A$27,0))</f>
        <v>1739 03082026</v>
      </c>
      <c r="D150" s="7" t="str">
        <f aca="false">TEXT(INDEX('Tolerance log'!$H$9:$H$27,MATCH(B150,'Tolerance log'!$A$9:$A$27,0)),"0.00")&amp;" → "&amp;TEXT(INDEX('Tolerance log'!$E$9:$E$27,MATCH(E150,'Tolerance log'!$A$9:$A$27,0)),"0.00")</f>
        <v>32.37 → 32.45</v>
      </c>
      <c r="E150" s="7" t="n">
        <v>8</v>
      </c>
      <c r="F150" s="10" t="n">
        <f aca="false">ABS(INDEX('Tolerance log'!$H$9:$H$27,MATCH(B150,'Tolerance log'!$A$9:$A$27,0))-INDEX('Tolerance log'!$E$9:$E$27,MATCH(E150,'Tolerance log'!$A$9:$A$27,0)))</f>
        <v>0.0800000000000054</v>
      </c>
      <c r="G150" s="7"/>
      <c r="H150" s="7"/>
    </row>
    <row r="151" customFormat="false" ht="15" hidden="false" customHeight="false" outlineLevel="0" collapsed="false">
      <c r="A151" s="7" t="n">
        <v>9</v>
      </c>
      <c r="B151" s="7" t="n">
        <v>8</v>
      </c>
      <c r="C151" s="7" t="str">
        <f aca="false">INDEX('Tolerance log'!$B$9:$B$27,MATCH(B151,'Tolerance log'!$A$9:$A$27,0))</f>
        <v>1008 030626</v>
      </c>
      <c r="D151" s="7" t="str">
        <f aca="false">TEXT(INDEX('Tolerance log'!$H$9:$H$27,MATCH(B151,'Tolerance log'!$A$9:$A$27,0)),"0.00")&amp;" → "&amp;TEXT(INDEX('Tolerance log'!$E$9:$E$27,MATCH(E151,'Tolerance log'!$A$9:$A$27,0)),"0.00")</f>
        <v>31.48 → 31.40</v>
      </c>
      <c r="E151" s="7" t="n">
        <v>12</v>
      </c>
      <c r="F151" s="10" t="n">
        <f aca="false">ABS(INDEX('Tolerance log'!$H$9:$H$27,MATCH(B151,'Tolerance log'!$A$9:$A$27,0))-INDEX('Tolerance log'!$E$9:$E$27,MATCH(E151,'Tolerance log'!$A$9:$A$27,0)))</f>
        <v>0.0800000000000019</v>
      </c>
      <c r="G151" s="7"/>
      <c r="H151" s="7"/>
    </row>
    <row r="152" customFormat="false" ht="15" hidden="false" customHeight="false" outlineLevel="0" collapsed="false">
      <c r="A152" s="7" t="n">
        <v>10</v>
      </c>
      <c r="B152" s="7" t="n">
        <v>12</v>
      </c>
      <c r="C152" s="7" t="str">
        <f aca="false">INDEX('Tolerance log'!$B$9:$B$27,MATCH(B152,'Tolerance log'!$A$9:$A$27,0))</f>
        <v>0741 030626</v>
      </c>
      <c r="D152" s="7" t="str">
        <f aca="false">TEXT(INDEX('Tolerance log'!$H$9:$H$27,MATCH(B152,'Tolerance log'!$A$9:$A$27,0)),"0.00")&amp;" → "&amp;TEXT(INDEX('Tolerance log'!$E$9:$E$27,MATCH(E152,'Tolerance log'!$A$9:$A$27,0)),"0.00")</f>
        <v>31.58 → 31.59</v>
      </c>
      <c r="E152" s="7" t="n">
        <v>13</v>
      </c>
      <c r="F152" s="10" t="n">
        <f aca="false">ABS(INDEX('Tolerance log'!$H$9:$H$27,MATCH(B152,'Tolerance log'!$A$9:$A$27,0))-INDEX('Tolerance log'!$E$9:$E$27,MATCH(E152,'Tolerance log'!$A$9:$A$27,0)))</f>
        <v>0.0100000000000016</v>
      </c>
      <c r="G152" s="7"/>
      <c r="H152" s="7"/>
    </row>
    <row r="153" customFormat="false" ht="15" hidden="false" customHeight="false" outlineLevel="0" collapsed="false">
      <c r="A153" s="7" t="n">
        <v>11</v>
      </c>
      <c r="B153" s="7" t="n">
        <v>13</v>
      </c>
      <c r="C153" s="7" t="str">
        <f aca="false">INDEX('Tolerance log'!$B$9:$B$27,MATCH(B153,'Tolerance log'!$A$9:$A$27,0))</f>
        <v>1029 030626</v>
      </c>
      <c r="D153" s="7" t="s">
        <v>76</v>
      </c>
      <c r="E153" s="7"/>
      <c r="F153" s="7"/>
      <c r="G153" s="7"/>
      <c r="H153" s="7"/>
    </row>
    <row r="154" customFormat="false" ht="15" hidden="false" customHeight="false" outlineLevel="0" collapsed="false">
      <c r="A154" s="3" t="s">
        <v>77</v>
      </c>
      <c r="B154" s="14" t="n">
        <f aca="false">SUM(F143:F152)</f>
        <v>1.09000000000001</v>
      </c>
      <c r="C154" s="3" t="s">
        <v>78</v>
      </c>
      <c r="D154" s="14" t="n">
        <f aca="false">MAX(F143:F152)</f>
        <v>0.290000000000003</v>
      </c>
    </row>
    <row r="157" customFormat="false" ht="15" hidden="false" customHeight="false" outlineLevel="0" collapsed="false">
      <c r="A157" s="19" t="s">
        <v>89</v>
      </c>
    </row>
    <row r="158" customFormat="false" ht="15" hidden="false" customHeight="false" outlineLevel="0" collapsed="false">
      <c r="A158" s="3" t="s">
        <v>71</v>
      </c>
      <c r="B158" s="12" t="s">
        <v>68</v>
      </c>
    </row>
    <row r="159" customFormat="false" ht="23.85" hidden="false" customHeight="false" outlineLevel="0" collapsed="false">
      <c r="A159" s="6" t="s">
        <v>72</v>
      </c>
      <c r="B159" s="6" t="s">
        <v>6</v>
      </c>
      <c r="C159" s="6" t="s">
        <v>7</v>
      </c>
      <c r="D159" s="6" t="s">
        <v>74</v>
      </c>
      <c r="E159" s="6" t="s">
        <v>90</v>
      </c>
      <c r="F159" s="6" t="s">
        <v>91</v>
      </c>
      <c r="G159" s="6" t="s">
        <v>92</v>
      </c>
      <c r="H159" s="6" t="s">
        <v>93</v>
      </c>
    </row>
    <row r="160" customFormat="false" ht="15" hidden="false" customHeight="false" outlineLevel="0" collapsed="false">
      <c r="A160" s="7" t="n">
        <v>1</v>
      </c>
      <c r="B160" s="7" t="n">
        <v>10</v>
      </c>
      <c r="C160" s="7" t="str">
        <f aca="false">INDEX('Tolerance log'!$B$9:$B$27,MATCH(B160,'Tolerance log'!$A$9:$A$27,0))</f>
        <v>1739 03082026</v>
      </c>
      <c r="D160" s="7" t="n">
        <v>9</v>
      </c>
      <c r="E160" s="10" t="n">
        <f aca="false">ABS(INDEX('Tolerance log'!$G$9:$G$27,MATCH(B160,'Tolerance log'!$A$9:$A$27,0))-INDEX('Tolerance log'!$D$9:$D$27,MATCH(D160,'Tolerance log'!$A$9:$A$27,0)))</f>
        <v>0.00999999999999091</v>
      </c>
      <c r="F160" s="10" t="n">
        <f aca="false">ABS(INDEX('Tolerance log'!$I$9:$I$27,MATCH(B160,'Tolerance log'!$A$9:$A$27,0))-INDEX('Tolerance log'!$F$9:$F$27,MATCH(D160,'Tolerance log'!$A$9:$A$27,0)))</f>
        <v>0.0100000000000016</v>
      </c>
      <c r="G160" s="10" t="n">
        <f aca="false">ABS(INDEX('Tolerance log'!$H$9:$H$27,MATCH(B160,'Tolerance log'!$A$9:$A$27,0))-INDEX('Tolerance log'!$E$9:$E$27,MATCH(D160,'Tolerance log'!$A$9:$A$27,0)))</f>
        <v>0.0200000000000031</v>
      </c>
      <c r="H160" s="10" t="n">
        <f aca="false">MAX(E160:G160)</f>
        <v>0.0200000000000031</v>
      </c>
    </row>
    <row r="161" customFormat="false" ht="15" hidden="false" customHeight="false" outlineLevel="0" collapsed="false">
      <c r="A161" s="7" t="n">
        <v>2</v>
      </c>
      <c r="B161" s="7" t="n">
        <v>9</v>
      </c>
      <c r="C161" s="7" t="str">
        <f aca="false">INDEX('Tolerance log'!$B$9:$B$27,MATCH(B161,'Tolerance log'!$A$9:$A$27,0))</f>
        <v>1830 03082026</v>
      </c>
      <c r="D161" s="7" t="n">
        <v>11</v>
      </c>
      <c r="E161" s="10" t="n">
        <f aca="false">ABS(INDEX('Tolerance log'!$G$9:$G$27,MATCH(B161,'Tolerance log'!$A$9:$A$27,0))-INDEX('Tolerance log'!$D$9:$D$27,MATCH(D161,'Tolerance log'!$A$9:$A$27,0)))</f>
        <v>0.759999999999991</v>
      </c>
      <c r="F161" s="10" t="n">
        <f aca="false">ABS(INDEX('Tolerance log'!$I$9:$I$27,MATCH(B161,'Tolerance log'!$A$9:$A$27,0))-INDEX('Tolerance log'!$F$9:$F$27,MATCH(D161,'Tolerance log'!$A$9:$A$27,0)))</f>
        <v>0.700000000000003</v>
      </c>
      <c r="G161" s="10" t="n">
        <f aca="false">ABS(INDEX('Tolerance log'!$H$9:$H$27,MATCH(B161,'Tolerance log'!$A$9:$A$27,0))-INDEX('Tolerance log'!$E$9:$E$27,MATCH(D161,'Tolerance log'!$A$9:$A$27,0)))</f>
        <v>0.0899999999999999</v>
      </c>
      <c r="H161" s="10" t="n">
        <f aca="false">MAX(E161:G161)</f>
        <v>0.759999999999991</v>
      </c>
    </row>
    <row r="162" customFormat="false" ht="15" hidden="false" customHeight="false" outlineLevel="0" collapsed="false">
      <c r="A162" s="7" t="n">
        <v>3</v>
      </c>
      <c r="B162" s="7" t="n">
        <v>11</v>
      </c>
      <c r="C162" s="7" t="str">
        <f aca="false">INDEX('Tolerance log'!$B$9:$B$27,MATCH(B162,'Tolerance log'!$A$9:$A$27,0))</f>
        <v>1739 03082026</v>
      </c>
      <c r="D162" s="7" t="n">
        <v>8</v>
      </c>
      <c r="E162" s="10" t="n">
        <f aca="false">ABS(INDEX('Tolerance log'!$G$9:$G$27,MATCH(B162,'Tolerance log'!$A$9:$A$27,0))-INDEX('Tolerance log'!$D$9:$D$27,MATCH(D162,'Tolerance log'!$A$9:$A$27,0)))</f>
        <v>0.529999999999973</v>
      </c>
      <c r="F162" s="10" t="n">
        <f aca="false">ABS(INDEX('Tolerance log'!$I$9:$I$27,MATCH(B162,'Tolerance log'!$A$9:$A$27,0))-INDEX('Tolerance log'!$F$9:$F$27,MATCH(D162,'Tolerance log'!$A$9:$A$27,0)))</f>
        <v>0.18</v>
      </c>
      <c r="G162" s="10" t="n">
        <f aca="false">ABS(INDEX('Tolerance log'!$H$9:$H$27,MATCH(B162,'Tolerance log'!$A$9:$A$27,0))-INDEX('Tolerance log'!$E$9:$E$27,MATCH(D162,'Tolerance log'!$A$9:$A$27,0)))</f>
        <v>0.0800000000000054</v>
      </c>
      <c r="H162" s="10" t="n">
        <f aca="false">MAX(E162:G162)</f>
        <v>0.529999999999973</v>
      </c>
    </row>
    <row r="163" customFormat="false" ht="15" hidden="false" customHeight="false" outlineLevel="0" collapsed="false">
      <c r="A163" s="7" t="n">
        <v>4</v>
      </c>
      <c r="B163" s="7" t="n">
        <v>8</v>
      </c>
      <c r="C163" s="7" t="str">
        <f aca="false">INDEX('Tolerance log'!$B$9:$B$27,MATCH(B163,'Tolerance log'!$A$9:$A$27,0))</f>
        <v>1008 030626</v>
      </c>
      <c r="D163" s="7" t="n">
        <v>13</v>
      </c>
      <c r="E163" s="10" t="n">
        <f aca="false">ABS(INDEX('Tolerance log'!$G$9:$G$27,MATCH(B163,'Tolerance log'!$A$9:$A$27,0))-INDEX('Tolerance log'!$D$9:$D$27,MATCH(D163,'Tolerance log'!$A$9:$A$27,0)))</f>
        <v>0.389999999999986</v>
      </c>
      <c r="F163" s="10" t="n">
        <f aca="false">ABS(INDEX('Tolerance log'!$I$9:$I$27,MATCH(B163,'Tolerance log'!$A$9:$A$27,0))-INDEX('Tolerance log'!$F$9:$F$27,MATCH(D163,'Tolerance log'!$A$9:$A$27,0)))</f>
        <v>0.189999999999998</v>
      </c>
      <c r="G163" s="10" t="n">
        <f aca="false">ABS(INDEX('Tolerance log'!$H$9:$H$27,MATCH(B163,'Tolerance log'!$A$9:$A$27,0))-INDEX('Tolerance log'!$E$9:$E$27,MATCH(D163,'Tolerance log'!$A$9:$A$27,0)))</f>
        <v>0.109999999999999</v>
      </c>
      <c r="H163" s="10" t="n">
        <f aca="false">MAX(E163:G163)</f>
        <v>0.389999999999986</v>
      </c>
    </row>
    <row r="164" customFormat="false" ht="15" hidden="false" customHeight="false" outlineLevel="0" collapsed="false">
      <c r="A164" s="7" t="n">
        <v>5</v>
      </c>
      <c r="B164" s="7" t="n">
        <v>13</v>
      </c>
      <c r="C164" s="7" t="str">
        <f aca="false">INDEX('Tolerance log'!$B$9:$B$27,MATCH(B164,'Tolerance log'!$A$9:$A$27,0))</f>
        <v>1029 030626</v>
      </c>
      <c r="D164" s="7" t="n">
        <v>12</v>
      </c>
      <c r="E164" s="10" t="n">
        <f aca="false">ABS(INDEX('Tolerance log'!$G$9:$G$27,MATCH(B164,'Tolerance log'!$A$9:$A$27,0))-INDEX('Tolerance log'!$D$9:$D$27,MATCH(D164,'Tolerance log'!$A$9:$A$27,0)))</f>
        <v>0.759999999999991</v>
      </c>
      <c r="F164" s="10" t="n">
        <f aca="false">ABS(INDEX('Tolerance log'!$I$9:$I$27,MATCH(B164,'Tolerance log'!$A$9:$A$27,0))-INDEX('Tolerance log'!$F$9:$F$27,MATCH(D164,'Tolerance log'!$A$9:$A$27,0)))</f>
        <v>0.219999999999999</v>
      </c>
      <c r="G164" s="10" t="n">
        <f aca="false">ABS(INDEX('Tolerance log'!$H$9:$H$27,MATCH(B164,'Tolerance log'!$A$9:$A$27,0))-INDEX('Tolerance log'!$E$9:$E$27,MATCH(D164,'Tolerance log'!$A$9:$A$27,0)))</f>
        <v>0.440000000000001</v>
      </c>
      <c r="H164" s="10" t="n">
        <f aca="false">MAX(E164:G164)</f>
        <v>0.759999999999991</v>
      </c>
    </row>
    <row r="165" customFormat="false" ht="15" hidden="false" customHeight="false" outlineLevel="0" collapsed="false">
      <c r="A165" s="7" t="n">
        <v>6</v>
      </c>
      <c r="B165" s="7" t="n">
        <v>12</v>
      </c>
      <c r="C165" s="7" t="str">
        <f aca="false">INDEX('Tolerance log'!$B$9:$B$27,MATCH(B165,'Tolerance log'!$A$9:$A$27,0))</f>
        <v>0741 030626</v>
      </c>
      <c r="D165" s="7" t="n">
        <v>16</v>
      </c>
      <c r="E165" s="10" t="n">
        <f aca="false">ABS(INDEX('Tolerance log'!$G$9:$G$27,MATCH(B165,'Tolerance log'!$A$9:$A$27,0))-INDEX('Tolerance log'!$D$9:$D$27,MATCH(D165,'Tolerance log'!$A$9:$A$27,0)))</f>
        <v>0.260000000000019</v>
      </c>
      <c r="F165" s="10" t="n">
        <f aca="false">ABS(INDEX('Tolerance log'!$I$9:$I$27,MATCH(B165,'Tolerance log'!$A$9:$A$27,0))-INDEX('Tolerance log'!$F$9:$F$27,MATCH(D165,'Tolerance log'!$A$9:$A$27,0)))</f>
        <v>0.309999999999999</v>
      </c>
      <c r="G165" s="10" t="n">
        <f aca="false">ABS(INDEX('Tolerance log'!$H$9:$H$27,MATCH(B165,'Tolerance log'!$A$9:$A$27,0))-INDEX('Tolerance log'!$E$9:$E$27,MATCH(D165,'Tolerance log'!$A$9:$A$27,0)))</f>
        <v>0.34</v>
      </c>
      <c r="H165" s="10" t="n">
        <f aca="false">MAX(E165:G165)</f>
        <v>0.34</v>
      </c>
    </row>
    <row r="166" customFormat="false" ht="15" hidden="false" customHeight="false" outlineLevel="0" collapsed="false">
      <c r="A166" s="7" t="n">
        <v>7</v>
      </c>
      <c r="B166" s="7" t="n">
        <v>16</v>
      </c>
      <c r="C166" s="7" t="str">
        <f aca="false">INDEX('Tolerance log'!$B$9:$B$27,MATCH(B166,'Tolerance log'!$A$9:$A$27,0))</f>
        <v>1025 030626</v>
      </c>
      <c r="D166" s="7" t="n">
        <v>15</v>
      </c>
      <c r="E166" s="10" t="n">
        <f aca="false">ABS(INDEX('Tolerance log'!$G$9:$G$27,MATCH(B166,'Tolerance log'!$A$9:$A$27,0))-INDEX('Tolerance log'!$D$9:$D$27,MATCH(D166,'Tolerance log'!$A$9:$A$27,0)))</f>
        <v>0.799999999999983</v>
      </c>
      <c r="F166" s="10" t="n">
        <f aca="false">ABS(INDEX('Tolerance log'!$I$9:$I$27,MATCH(B166,'Tolerance log'!$A$9:$A$27,0))-INDEX('Tolerance log'!$F$9:$F$27,MATCH(D166,'Tolerance log'!$A$9:$A$27,0)))</f>
        <v>0.77</v>
      </c>
      <c r="G166" s="10" t="n">
        <f aca="false">ABS(INDEX('Tolerance log'!$H$9:$H$27,MATCH(B166,'Tolerance log'!$A$9:$A$27,0))-INDEX('Tolerance log'!$E$9:$E$27,MATCH(D166,'Tolerance log'!$A$9:$A$27,0)))</f>
        <v>0.23</v>
      </c>
      <c r="H166" s="10" t="n">
        <f aca="false">MAX(E166:G166)</f>
        <v>0.799999999999983</v>
      </c>
    </row>
    <row r="167" customFormat="false" ht="15" hidden="false" customHeight="false" outlineLevel="0" collapsed="false">
      <c r="A167" s="7" t="n">
        <v>8</v>
      </c>
      <c r="B167" s="7" t="n">
        <v>15</v>
      </c>
      <c r="C167" s="7" t="str">
        <f aca="false">INDEX('Tolerance log'!$B$9:$B$27,MATCH(B167,'Tolerance log'!$A$9:$A$27,0))</f>
        <v>1020 030626</v>
      </c>
      <c r="D167" s="7" t="n">
        <v>14</v>
      </c>
      <c r="E167" s="10" t="n">
        <f aca="false">ABS(INDEX('Tolerance log'!$G$9:$G$27,MATCH(B167,'Tolerance log'!$A$9:$A$27,0))-INDEX('Tolerance log'!$D$9:$D$27,MATCH(D167,'Tolerance log'!$A$9:$A$27,0)))</f>
        <v>0.150000000000006</v>
      </c>
      <c r="F167" s="10" t="n">
        <f aca="false">ABS(INDEX('Tolerance log'!$I$9:$I$27,MATCH(B167,'Tolerance log'!$A$9:$A$27,0))-INDEX('Tolerance log'!$F$9:$F$27,MATCH(D167,'Tolerance log'!$A$9:$A$27,0)))</f>
        <v>0.300000000000001</v>
      </c>
      <c r="G167" s="10" t="n">
        <f aca="false">ABS(INDEX('Tolerance log'!$H$9:$H$27,MATCH(B167,'Tolerance log'!$A$9:$A$27,0))-INDEX('Tolerance log'!$E$9:$E$27,MATCH(D167,'Tolerance log'!$A$9:$A$27,0)))</f>
        <v>0.0399999999999992</v>
      </c>
      <c r="H167" s="10" t="n">
        <f aca="false">MAX(E167:G167)</f>
        <v>0.300000000000001</v>
      </c>
    </row>
    <row r="168" customFormat="false" ht="15" hidden="false" customHeight="false" outlineLevel="0" collapsed="false">
      <c r="A168" s="7" t="n">
        <v>9</v>
      </c>
      <c r="B168" s="7" t="n">
        <v>14</v>
      </c>
      <c r="C168" s="7" t="str">
        <f aca="false">INDEX('Tolerance log'!$B$9:$B$27,MATCH(B168,'Tolerance log'!$A$9:$A$27,0))</f>
        <v>1012 030626</v>
      </c>
      <c r="D168" s="7" t="n">
        <v>7</v>
      </c>
      <c r="E168" s="10" t="n">
        <f aca="false">ABS(INDEX('Tolerance log'!$G$9:$G$27,MATCH(B168,'Tolerance log'!$A$9:$A$27,0))-INDEX('Tolerance log'!$D$9:$D$27,MATCH(D168,'Tolerance log'!$A$9:$A$27,0)))</f>
        <v>0.379999999999995</v>
      </c>
      <c r="F168" s="10" t="n">
        <f aca="false">ABS(INDEX('Tolerance log'!$I$9:$I$27,MATCH(B168,'Tolerance log'!$A$9:$A$27,0))-INDEX('Tolerance log'!$F$9:$F$27,MATCH(D168,'Tolerance log'!$A$9:$A$27,0)))</f>
        <v>0.0700000000000003</v>
      </c>
      <c r="G168" s="10" t="n">
        <f aca="false">ABS(INDEX('Tolerance log'!$H$9:$H$27,MATCH(B168,'Tolerance log'!$A$9:$A$27,0))-INDEX('Tolerance log'!$E$9:$E$27,MATCH(D168,'Tolerance log'!$A$9:$A$27,0)))</f>
        <v>0.470000000000002</v>
      </c>
      <c r="H168" s="10" t="n">
        <f aca="false">MAX(E168:G168)</f>
        <v>0.470000000000002</v>
      </c>
    </row>
    <row r="169" customFormat="false" ht="15" hidden="false" customHeight="false" outlineLevel="0" collapsed="false">
      <c r="A169" s="7" t="n">
        <v>10</v>
      </c>
      <c r="B169" s="7" t="n">
        <v>7</v>
      </c>
      <c r="C169" s="7" t="str">
        <f aca="false">INDEX('Tolerance log'!$B$9:$B$27,MATCH(B169,'Tolerance log'!$A$9:$A$27,0))</f>
        <v>1011 030626</v>
      </c>
      <c r="D169" s="7" t="n">
        <v>17</v>
      </c>
      <c r="E169" s="10" t="n">
        <f aca="false">ABS(INDEX('Tolerance log'!$G$9:$G$27,MATCH(B169,'Tolerance log'!$A$9:$A$27,0))-INDEX('Tolerance log'!$D$9:$D$27,MATCH(D169,'Tolerance log'!$A$9:$A$27,0)))</f>
        <v>0.829999999999984</v>
      </c>
      <c r="F169" s="10" t="n">
        <f aca="false">ABS(INDEX('Tolerance log'!$I$9:$I$27,MATCH(B169,'Tolerance log'!$A$9:$A$27,0))-INDEX('Tolerance log'!$F$9:$F$27,MATCH(D169,'Tolerance log'!$A$9:$A$27,0)))</f>
        <v>0.280000000000001</v>
      </c>
      <c r="G169" s="10" t="n">
        <f aca="false">ABS(INDEX('Tolerance log'!$H$9:$H$27,MATCH(B169,'Tolerance log'!$A$9:$A$27,0))-INDEX('Tolerance log'!$E$9:$E$27,MATCH(D169,'Tolerance log'!$A$9:$A$27,0)))</f>
        <v>0.34</v>
      </c>
      <c r="H169" s="10" t="n">
        <f aca="false">MAX(E169:G169)</f>
        <v>0.829999999999984</v>
      </c>
    </row>
    <row r="170" customFormat="false" ht="15" hidden="false" customHeight="false" outlineLevel="0" collapsed="false">
      <c r="A170" s="7" t="n">
        <v>11</v>
      </c>
      <c r="B170" s="7" t="n">
        <v>17</v>
      </c>
      <c r="C170" s="7" t="str">
        <f aca="false">INDEX('Tolerance log'!$B$9:$B$27,MATCH(B170,'Tolerance log'!$A$9:$A$27,0))</f>
        <v>1018 030626</v>
      </c>
      <c r="D170" s="7" t="s">
        <v>76</v>
      </c>
      <c r="E170" s="7"/>
      <c r="F170" s="7"/>
      <c r="G170" s="7"/>
      <c r="H170" s="7"/>
    </row>
    <row r="171" customFormat="false" ht="15" hidden="false" customHeight="false" outlineLevel="0" collapsed="false">
      <c r="A171" s="3" t="s">
        <v>77</v>
      </c>
      <c r="B171" s="14" t="n">
        <f aca="false">SUM(H160:H169)</f>
        <v>5.19999999999991</v>
      </c>
      <c r="C171" s="3" t="s">
        <v>78</v>
      </c>
      <c r="D171" s="14" t="n">
        <f aca="false">MAX(H160:H169)</f>
        <v>0.829999999999984</v>
      </c>
    </row>
    <row r="173" customFormat="false" ht="15" hidden="false" customHeight="false" outlineLevel="0" collapsed="false">
      <c r="A173" s="3" t="s">
        <v>79</v>
      </c>
      <c r="B173" s="12" t="s">
        <v>94</v>
      </c>
    </row>
    <row r="174" customFormat="false" ht="23.85" hidden="false" customHeight="false" outlineLevel="0" collapsed="false">
      <c r="A174" s="6" t="s">
        <v>72</v>
      </c>
      <c r="B174" s="6" t="s">
        <v>6</v>
      </c>
      <c r="C174" s="6" t="s">
        <v>7</v>
      </c>
      <c r="D174" s="6" t="s">
        <v>74</v>
      </c>
      <c r="E174" s="6" t="s">
        <v>90</v>
      </c>
      <c r="F174" s="6" t="s">
        <v>91</v>
      </c>
      <c r="G174" s="6" t="s">
        <v>92</v>
      </c>
      <c r="H174" s="6" t="s">
        <v>93</v>
      </c>
    </row>
    <row r="175" customFormat="false" ht="15" hidden="false" customHeight="false" outlineLevel="0" collapsed="false">
      <c r="A175" s="7" t="n">
        <v>1</v>
      </c>
      <c r="B175" s="7" t="n">
        <v>10</v>
      </c>
      <c r="C175" s="7" t="str">
        <f aca="false">INDEX('Tolerance log'!$B$9:$B$27,MATCH(B175,'Tolerance log'!$A$9:$A$27,0))</f>
        <v>1739 03082026</v>
      </c>
      <c r="D175" s="7" t="n">
        <v>9</v>
      </c>
      <c r="E175" s="10" t="n">
        <f aca="false">ABS(INDEX('Tolerance log'!$G$9:$G$27,MATCH(B175,'Tolerance log'!$A$9:$A$27,0))-INDEX('Tolerance log'!$D$9:$D$27,MATCH(D175,'Tolerance log'!$A$9:$A$27,0)))</f>
        <v>0.00999999999999091</v>
      </c>
      <c r="F175" s="10" t="n">
        <f aca="false">ABS(INDEX('Tolerance log'!$I$9:$I$27,MATCH(B175,'Tolerance log'!$A$9:$A$27,0))-INDEX('Tolerance log'!$F$9:$F$27,MATCH(D175,'Tolerance log'!$A$9:$A$27,0)))</f>
        <v>0.0100000000000016</v>
      </c>
      <c r="G175" s="10" t="n">
        <f aca="false">ABS(INDEX('Tolerance log'!$H$9:$H$27,MATCH(B175,'Tolerance log'!$A$9:$A$27,0))-INDEX('Tolerance log'!$E$9:$E$27,MATCH(D175,'Tolerance log'!$A$9:$A$27,0)))</f>
        <v>0.0200000000000031</v>
      </c>
      <c r="H175" s="10" t="n">
        <f aca="false">MAX(E175:G175)</f>
        <v>0.0200000000000031</v>
      </c>
    </row>
    <row r="176" customFormat="false" ht="15" hidden="false" customHeight="false" outlineLevel="0" collapsed="false">
      <c r="A176" s="7" t="n">
        <v>2</v>
      </c>
      <c r="B176" s="7" t="n">
        <v>9</v>
      </c>
      <c r="C176" s="7" t="str">
        <f aca="false">INDEX('Tolerance log'!$B$9:$B$27,MATCH(B176,'Tolerance log'!$A$9:$A$27,0))</f>
        <v>1830 03082026</v>
      </c>
      <c r="D176" s="7" t="n">
        <v>11</v>
      </c>
      <c r="E176" s="10" t="n">
        <f aca="false">ABS(INDEX('Tolerance log'!$G$9:$G$27,MATCH(B176,'Tolerance log'!$A$9:$A$27,0))-INDEX('Tolerance log'!$D$9:$D$27,MATCH(D176,'Tolerance log'!$A$9:$A$27,0)))</f>
        <v>0.759999999999991</v>
      </c>
      <c r="F176" s="10" t="n">
        <f aca="false">ABS(INDEX('Tolerance log'!$I$9:$I$27,MATCH(B176,'Tolerance log'!$A$9:$A$27,0))-INDEX('Tolerance log'!$F$9:$F$27,MATCH(D176,'Tolerance log'!$A$9:$A$27,0)))</f>
        <v>0.700000000000003</v>
      </c>
      <c r="G176" s="10" t="n">
        <f aca="false">ABS(INDEX('Tolerance log'!$H$9:$H$27,MATCH(B176,'Tolerance log'!$A$9:$A$27,0))-INDEX('Tolerance log'!$E$9:$E$27,MATCH(D176,'Tolerance log'!$A$9:$A$27,0)))</f>
        <v>0.0899999999999999</v>
      </c>
      <c r="H176" s="10" t="n">
        <f aca="false">MAX(E176:G176)</f>
        <v>0.759999999999991</v>
      </c>
    </row>
    <row r="177" customFormat="false" ht="15" hidden="false" customHeight="false" outlineLevel="0" collapsed="false">
      <c r="A177" s="7" t="n">
        <v>3</v>
      </c>
      <c r="B177" s="7" t="n">
        <v>11</v>
      </c>
      <c r="C177" s="7" t="str">
        <f aca="false">INDEX('Tolerance log'!$B$9:$B$27,MATCH(B177,'Tolerance log'!$A$9:$A$27,0))</f>
        <v>1739 03082026</v>
      </c>
      <c r="D177" s="7" t="n">
        <v>8</v>
      </c>
      <c r="E177" s="10" t="n">
        <f aca="false">ABS(INDEX('Tolerance log'!$G$9:$G$27,MATCH(B177,'Tolerance log'!$A$9:$A$27,0))-INDEX('Tolerance log'!$D$9:$D$27,MATCH(D177,'Tolerance log'!$A$9:$A$27,0)))</f>
        <v>0.529999999999973</v>
      </c>
      <c r="F177" s="10" t="n">
        <f aca="false">ABS(INDEX('Tolerance log'!$I$9:$I$27,MATCH(B177,'Tolerance log'!$A$9:$A$27,0))-INDEX('Tolerance log'!$F$9:$F$27,MATCH(D177,'Tolerance log'!$A$9:$A$27,0)))</f>
        <v>0.18</v>
      </c>
      <c r="G177" s="10" t="n">
        <f aca="false">ABS(INDEX('Tolerance log'!$H$9:$H$27,MATCH(B177,'Tolerance log'!$A$9:$A$27,0))-INDEX('Tolerance log'!$E$9:$E$27,MATCH(D177,'Tolerance log'!$A$9:$A$27,0)))</f>
        <v>0.0800000000000054</v>
      </c>
      <c r="H177" s="10" t="n">
        <f aca="false">MAX(E177:G177)</f>
        <v>0.529999999999973</v>
      </c>
    </row>
    <row r="178" customFormat="false" ht="15" hidden="false" customHeight="false" outlineLevel="0" collapsed="false">
      <c r="A178" s="7" t="n">
        <v>4</v>
      </c>
      <c r="B178" s="7" t="n">
        <v>8</v>
      </c>
      <c r="C178" s="7" t="str">
        <f aca="false">INDEX('Tolerance log'!$B$9:$B$27,MATCH(B178,'Tolerance log'!$A$9:$A$27,0))</f>
        <v>1008 030626</v>
      </c>
      <c r="D178" s="7" t="n">
        <v>13</v>
      </c>
      <c r="E178" s="10" t="n">
        <f aca="false">ABS(INDEX('Tolerance log'!$G$9:$G$27,MATCH(B178,'Tolerance log'!$A$9:$A$27,0))-INDEX('Tolerance log'!$D$9:$D$27,MATCH(D178,'Tolerance log'!$A$9:$A$27,0)))</f>
        <v>0.389999999999986</v>
      </c>
      <c r="F178" s="10" t="n">
        <f aca="false">ABS(INDEX('Tolerance log'!$I$9:$I$27,MATCH(B178,'Tolerance log'!$A$9:$A$27,0))-INDEX('Tolerance log'!$F$9:$F$27,MATCH(D178,'Tolerance log'!$A$9:$A$27,0)))</f>
        <v>0.189999999999998</v>
      </c>
      <c r="G178" s="10" t="n">
        <f aca="false">ABS(INDEX('Tolerance log'!$H$9:$H$27,MATCH(B178,'Tolerance log'!$A$9:$A$27,0))-INDEX('Tolerance log'!$E$9:$E$27,MATCH(D178,'Tolerance log'!$A$9:$A$27,0)))</f>
        <v>0.109999999999999</v>
      </c>
      <c r="H178" s="10" t="n">
        <f aca="false">MAX(E178:G178)</f>
        <v>0.389999999999986</v>
      </c>
    </row>
    <row r="179" customFormat="false" ht="15" hidden="false" customHeight="false" outlineLevel="0" collapsed="false">
      <c r="A179" s="7" t="n">
        <v>5</v>
      </c>
      <c r="B179" s="7" t="n">
        <v>13</v>
      </c>
      <c r="C179" s="7" t="str">
        <f aca="false">INDEX('Tolerance log'!$B$9:$B$27,MATCH(B179,'Tolerance log'!$A$9:$A$27,0))</f>
        <v>1029 030626</v>
      </c>
      <c r="D179" s="7" t="n">
        <v>12</v>
      </c>
      <c r="E179" s="10" t="n">
        <f aca="false">ABS(INDEX('Tolerance log'!$G$9:$G$27,MATCH(B179,'Tolerance log'!$A$9:$A$27,0))-INDEX('Tolerance log'!$D$9:$D$27,MATCH(D179,'Tolerance log'!$A$9:$A$27,0)))</f>
        <v>0.759999999999991</v>
      </c>
      <c r="F179" s="10" t="n">
        <f aca="false">ABS(INDEX('Tolerance log'!$I$9:$I$27,MATCH(B179,'Tolerance log'!$A$9:$A$27,0))-INDEX('Tolerance log'!$F$9:$F$27,MATCH(D179,'Tolerance log'!$A$9:$A$27,0)))</f>
        <v>0.219999999999999</v>
      </c>
      <c r="G179" s="10" t="n">
        <f aca="false">ABS(INDEX('Tolerance log'!$H$9:$H$27,MATCH(B179,'Tolerance log'!$A$9:$A$27,0))-INDEX('Tolerance log'!$E$9:$E$27,MATCH(D179,'Tolerance log'!$A$9:$A$27,0)))</f>
        <v>0.440000000000001</v>
      </c>
      <c r="H179" s="10" t="n">
        <f aca="false">MAX(E179:G179)</f>
        <v>0.759999999999991</v>
      </c>
    </row>
    <row r="180" customFormat="false" ht="15" hidden="false" customHeight="false" outlineLevel="0" collapsed="false">
      <c r="A180" s="7" t="n">
        <v>6</v>
      </c>
      <c r="B180" s="7" t="n">
        <v>12</v>
      </c>
      <c r="C180" s="7" t="str">
        <f aca="false">INDEX('Tolerance log'!$B$9:$B$27,MATCH(B180,'Tolerance log'!$A$9:$A$27,0))</f>
        <v>0741 030626</v>
      </c>
      <c r="D180" s="7" t="n">
        <v>14</v>
      </c>
      <c r="E180" s="10" t="n">
        <f aca="false">ABS(INDEX('Tolerance log'!$G$9:$G$27,MATCH(B180,'Tolerance log'!$A$9:$A$27,0))-INDEX('Tolerance log'!$D$9:$D$27,MATCH(D180,'Tolerance log'!$A$9:$A$27,0)))</f>
        <v>0.0500000000000114</v>
      </c>
      <c r="F180" s="10" t="n">
        <f aca="false">ABS(INDEX('Tolerance log'!$I$9:$I$27,MATCH(B180,'Tolerance log'!$A$9:$A$27,0))-INDEX('Tolerance log'!$F$9:$F$27,MATCH(D180,'Tolerance log'!$A$9:$A$27,0)))</f>
        <v>0.129999999999999</v>
      </c>
      <c r="G180" s="10" t="n">
        <f aca="false">ABS(INDEX('Tolerance log'!$H$9:$H$27,MATCH(B180,'Tolerance log'!$A$9:$A$27,0))-INDEX('Tolerance log'!$E$9:$E$27,MATCH(D180,'Tolerance log'!$A$9:$A$27,0)))</f>
        <v>0.0300000000000011</v>
      </c>
      <c r="H180" s="10" t="n">
        <f aca="false">MAX(E180:G180)</f>
        <v>0.129999999999999</v>
      </c>
    </row>
    <row r="181" customFormat="false" ht="15" hidden="false" customHeight="false" outlineLevel="0" collapsed="false">
      <c r="A181" s="7" t="n">
        <v>7</v>
      </c>
      <c r="B181" s="7" t="n">
        <v>14</v>
      </c>
      <c r="C181" s="7" t="str">
        <f aca="false">INDEX('Tolerance log'!$B$9:$B$27,MATCH(B181,'Tolerance log'!$A$9:$A$27,0))</f>
        <v>1012 030626</v>
      </c>
      <c r="D181" s="7" t="n">
        <v>16</v>
      </c>
      <c r="E181" s="10" t="n">
        <f aca="false">ABS(INDEX('Tolerance log'!$G$9:$G$27,MATCH(B181,'Tolerance log'!$A$9:$A$27,0))-INDEX('Tolerance log'!$D$9:$D$27,MATCH(D181,'Tolerance log'!$A$9:$A$27,0)))</f>
        <v>0.360000000000014</v>
      </c>
      <c r="F181" s="10" t="n">
        <f aca="false">ABS(INDEX('Tolerance log'!$I$9:$I$27,MATCH(B181,'Tolerance log'!$A$9:$A$27,0))-INDEX('Tolerance log'!$F$9:$F$27,MATCH(D181,'Tolerance log'!$A$9:$A$27,0)))</f>
        <v>0.210000000000001</v>
      </c>
      <c r="G181" s="10" t="n">
        <f aca="false">ABS(INDEX('Tolerance log'!$H$9:$H$27,MATCH(B181,'Tolerance log'!$A$9:$A$27,0))-INDEX('Tolerance log'!$E$9:$E$27,MATCH(D181,'Tolerance log'!$A$9:$A$27,0)))</f>
        <v>0.290000000000003</v>
      </c>
      <c r="H181" s="10" t="n">
        <f aca="false">MAX(E181:G181)</f>
        <v>0.360000000000014</v>
      </c>
    </row>
    <row r="182" customFormat="false" ht="15" hidden="false" customHeight="false" outlineLevel="0" collapsed="false">
      <c r="A182" s="7" t="n">
        <v>8</v>
      </c>
      <c r="B182" s="7" t="n">
        <v>16</v>
      </c>
      <c r="C182" s="7" t="str">
        <f aca="false">INDEX('Tolerance log'!$B$9:$B$27,MATCH(B182,'Tolerance log'!$A$9:$A$27,0))</f>
        <v>1025 030626</v>
      </c>
      <c r="D182" s="7" t="n">
        <v>15</v>
      </c>
      <c r="E182" s="10" t="n">
        <f aca="false">ABS(INDEX('Tolerance log'!$G$9:$G$27,MATCH(B182,'Tolerance log'!$A$9:$A$27,0))-INDEX('Tolerance log'!$D$9:$D$27,MATCH(D182,'Tolerance log'!$A$9:$A$27,0)))</f>
        <v>0.799999999999983</v>
      </c>
      <c r="F182" s="10" t="n">
        <f aca="false">ABS(INDEX('Tolerance log'!$I$9:$I$27,MATCH(B182,'Tolerance log'!$A$9:$A$27,0))-INDEX('Tolerance log'!$F$9:$F$27,MATCH(D182,'Tolerance log'!$A$9:$A$27,0)))</f>
        <v>0.77</v>
      </c>
      <c r="G182" s="10" t="n">
        <f aca="false">ABS(INDEX('Tolerance log'!$H$9:$H$27,MATCH(B182,'Tolerance log'!$A$9:$A$27,0))-INDEX('Tolerance log'!$E$9:$E$27,MATCH(D182,'Tolerance log'!$A$9:$A$27,0)))</f>
        <v>0.23</v>
      </c>
      <c r="H182" s="10" t="n">
        <f aca="false">MAX(E182:G182)</f>
        <v>0.799999999999983</v>
      </c>
    </row>
    <row r="183" customFormat="false" ht="15" hidden="false" customHeight="false" outlineLevel="0" collapsed="false">
      <c r="A183" s="7" t="n">
        <v>9</v>
      </c>
      <c r="B183" s="7" t="n">
        <v>15</v>
      </c>
      <c r="C183" s="7" t="str">
        <f aca="false">INDEX('Tolerance log'!$B$9:$B$27,MATCH(B183,'Tolerance log'!$A$9:$A$27,0))</f>
        <v>1020 030626</v>
      </c>
      <c r="D183" s="7" t="n">
        <v>7</v>
      </c>
      <c r="E183" s="10" t="n">
        <f aca="false">ABS(INDEX('Tolerance log'!$G$9:$G$27,MATCH(B183,'Tolerance log'!$A$9:$A$27,0))-INDEX('Tolerance log'!$D$9:$D$27,MATCH(D183,'Tolerance log'!$A$9:$A$27,0)))</f>
        <v>0.379999999999995</v>
      </c>
      <c r="F183" s="10" t="n">
        <f aca="false">ABS(INDEX('Tolerance log'!$I$9:$I$27,MATCH(B183,'Tolerance log'!$A$9:$A$27,0))-INDEX('Tolerance log'!$F$9:$F$27,MATCH(D183,'Tolerance log'!$A$9:$A$27,0)))</f>
        <v>0.620000000000001</v>
      </c>
      <c r="G183" s="10" t="n">
        <f aca="false">ABS(INDEX('Tolerance log'!$H$9:$H$27,MATCH(B183,'Tolerance log'!$A$9:$A$27,0))-INDEX('Tolerance log'!$E$9:$E$27,MATCH(D183,'Tolerance log'!$A$9:$A$27,0)))</f>
        <v>0.510000000000002</v>
      </c>
      <c r="H183" s="10" t="n">
        <f aca="false">MAX(E183:G183)</f>
        <v>0.620000000000001</v>
      </c>
    </row>
    <row r="184" customFormat="false" ht="15" hidden="false" customHeight="false" outlineLevel="0" collapsed="false">
      <c r="A184" s="7" t="n">
        <v>10</v>
      </c>
      <c r="B184" s="7" t="n">
        <v>7</v>
      </c>
      <c r="C184" s="7" t="str">
        <f aca="false">INDEX('Tolerance log'!$B$9:$B$27,MATCH(B184,'Tolerance log'!$A$9:$A$27,0))</f>
        <v>1011 030626</v>
      </c>
      <c r="D184" s="7" t="n">
        <v>17</v>
      </c>
      <c r="E184" s="10" t="n">
        <f aca="false">ABS(INDEX('Tolerance log'!$G$9:$G$27,MATCH(B184,'Tolerance log'!$A$9:$A$27,0))-INDEX('Tolerance log'!$D$9:$D$27,MATCH(D184,'Tolerance log'!$A$9:$A$27,0)))</f>
        <v>0.829999999999984</v>
      </c>
      <c r="F184" s="10" t="n">
        <f aca="false">ABS(INDEX('Tolerance log'!$I$9:$I$27,MATCH(B184,'Tolerance log'!$A$9:$A$27,0))-INDEX('Tolerance log'!$F$9:$F$27,MATCH(D184,'Tolerance log'!$A$9:$A$27,0)))</f>
        <v>0.280000000000001</v>
      </c>
      <c r="G184" s="10" t="n">
        <f aca="false">ABS(INDEX('Tolerance log'!$H$9:$H$27,MATCH(B184,'Tolerance log'!$A$9:$A$27,0))-INDEX('Tolerance log'!$E$9:$E$27,MATCH(D184,'Tolerance log'!$A$9:$A$27,0)))</f>
        <v>0.34</v>
      </c>
      <c r="H184" s="10" t="n">
        <f aca="false">MAX(E184:G184)</f>
        <v>0.829999999999984</v>
      </c>
    </row>
    <row r="185" customFormat="false" ht="15" hidden="false" customHeight="false" outlineLevel="0" collapsed="false">
      <c r="A185" s="7" t="n">
        <v>11</v>
      </c>
      <c r="B185" s="7" t="n">
        <v>17</v>
      </c>
      <c r="C185" s="7" t="str">
        <f aca="false">INDEX('Tolerance log'!$B$9:$B$27,MATCH(B185,'Tolerance log'!$A$9:$A$27,0))</f>
        <v>1018 030626</v>
      </c>
      <c r="D185" s="7" t="s">
        <v>76</v>
      </c>
      <c r="E185" s="7"/>
      <c r="F185" s="7"/>
      <c r="G185" s="7"/>
      <c r="H185" s="7"/>
    </row>
    <row r="186" customFormat="false" ht="15" hidden="false" customHeight="false" outlineLevel="0" collapsed="false">
      <c r="A186" s="3" t="s">
        <v>77</v>
      </c>
      <c r="B186" s="14" t="n">
        <f aca="false">SUM(H175:H184)</f>
        <v>5.19999999999993</v>
      </c>
      <c r="C186" s="3" t="s">
        <v>78</v>
      </c>
      <c r="D186" s="14" t="n">
        <f aca="false">MAX(H175:H184)</f>
        <v>0.829999999999984</v>
      </c>
    </row>
    <row r="188" customFormat="false" ht="15" hidden="false" customHeight="false" outlineLevel="0" collapsed="false">
      <c r="A188" s="3" t="s">
        <v>81</v>
      </c>
      <c r="B188" s="12" t="s">
        <v>95</v>
      </c>
    </row>
    <row r="189" customFormat="false" ht="23.85" hidden="false" customHeight="false" outlineLevel="0" collapsed="false">
      <c r="A189" s="6" t="s">
        <v>72</v>
      </c>
      <c r="B189" s="6" t="s">
        <v>6</v>
      </c>
      <c r="C189" s="6" t="s">
        <v>7</v>
      </c>
      <c r="D189" s="6" t="s">
        <v>74</v>
      </c>
      <c r="E189" s="6" t="s">
        <v>90</v>
      </c>
      <c r="F189" s="6" t="s">
        <v>91</v>
      </c>
      <c r="G189" s="6" t="s">
        <v>92</v>
      </c>
      <c r="H189" s="6" t="s">
        <v>93</v>
      </c>
    </row>
    <row r="190" customFormat="false" ht="15" hidden="false" customHeight="false" outlineLevel="0" collapsed="false">
      <c r="A190" s="7" t="n">
        <v>1</v>
      </c>
      <c r="B190" s="7" t="n">
        <v>10</v>
      </c>
      <c r="C190" s="7" t="str">
        <f aca="false">INDEX('Tolerance log'!$B$9:$B$27,MATCH(B190,'Tolerance log'!$A$9:$A$27,0))</f>
        <v>1739 03082026</v>
      </c>
      <c r="D190" s="7" t="n">
        <v>9</v>
      </c>
      <c r="E190" s="10" t="n">
        <f aca="false">ABS(INDEX('Tolerance log'!$G$9:$G$27,MATCH(B190,'Tolerance log'!$A$9:$A$27,0))-INDEX('Tolerance log'!$D$9:$D$27,MATCH(D190,'Tolerance log'!$A$9:$A$27,0)))</f>
        <v>0.00999999999999091</v>
      </c>
      <c r="F190" s="10" t="n">
        <f aca="false">ABS(INDEX('Tolerance log'!$I$9:$I$27,MATCH(B190,'Tolerance log'!$A$9:$A$27,0))-INDEX('Tolerance log'!$F$9:$F$27,MATCH(D190,'Tolerance log'!$A$9:$A$27,0)))</f>
        <v>0.0100000000000016</v>
      </c>
      <c r="G190" s="10" t="n">
        <f aca="false">ABS(INDEX('Tolerance log'!$H$9:$H$27,MATCH(B190,'Tolerance log'!$A$9:$A$27,0))-INDEX('Tolerance log'!$E$9:$E$27,MATCH(D190,'Tolerance log'!$A$9:$A$27,0)))</f>
        <v>0.0200000000000031</v>
      </c>
      <c r="H190" s="10" t="n">
        <f aca="false">MAX(E190:G190)</f>
        <v>0.0200000000000031</v>
      </c>
    </row>
    <row r="191" customFormat="false" ht="15" hidden="false" customHeight="false" outlineLevel="0" collapsed="false">
      <c r="A191" s="7" t="n">
        <v>2</v>
      </c>
      <c r="B191" s="7" t="n">
        <v>9</v>
      </c>
      <c r="C191" s="7" t="str">
        <f aca="false">INDEX('Tolerance log'!$B$9:$B$27,MATCH(B191,'Tolerance log'!$A$9:$A$27,0))</f>
        <v>1830 03082026</v>
      </c>
      <c r="D191" s="7" t="n">
        <v>11</v>
      </c>
      <c r="E191" s="10" t="n">
        <f aca="false">ABS(INDEX('Tolerance log'!$G$9:$G$27,MATCH(B191,'Tolerance log'!$A$9:$A$27,0))-INDEX('Tolerance log'!$D$9:$D$27,MATCH(D191,'Tolerance log'!$A$9:$A$27,0)))</f>
        <v>0.759999999999991</v>
      </c>
      <c r="F191" s="10" t="n">
        <f aca="false">ABS(INDEX('Tolerance log'!$I$9:$I$27,MATCH(B191,'Tolerance log'!$A$9:$A$27,0))-INDEX('Tolerance log'!$F$9:$F$27,MATCH(D191,'Tolerance log'!$A$9:$A$27,0)))</f>
        <v>0.700000000000003</v>
      </c>
      <c r="G191" s="10" t="n">
        <f aca="false">ABS(INDEX('Tolerance log'!$H$9:$H$27,MATCH(B191,'Tolerance log'!$A$9:$A$27,0))-INDEX('Tolerance log'!$E$9:$E$27,MATCH(D191,'Tolerance log'!$A$9:$A$27,0)))</f>
        <v>0.0899999999999999</v>
      </c>
      <c r="H191" s="10" t="n">
        <f aca="false">MAX(E191:G191)</f>
        <v>0.759999999999991</v>
      </c>
    </row>
    <row r="192" customFormat="false" ht="15" hidden="false" customHeight="false" outlineLevel="0" collapsed="false">
      <c r="A192" s="7" t="n">
        <v>3</v>
      </c>
      <c r="B192" s="7" t="n">
        <v>11</v>
      </c>
      <c r="C192" s="7" t="str">
        <f aca="false">INDEX('Tolerance log'!$B$9:$B$27,MATCH(B192,'Tolerance log'!$A$9:$A$27,0))</f>
        <v>1739 03082026</v>
      </c>
      <c r="D192" s="7" t="n">
        <v>8</v>
      </c>
      <c r="E192" s="10" t="n">
        <f aca="false">ABS(INDEX('Tolerance log'!$G$9:$G$27,MATCH(B192,'Tolerance log'!$A$9:$A$27,0))-INDEX('Tolerance log'!$D$9:$D$27,MATCH(D192,'Tolerance log'!$A$9:$A$27,0)))</f>
        <v>0.529999999999973</v>
      </c>
      <c r="F192" s="10" t="n">
        <f aca="false">ABS(INDEX('Tolerance log'!$I$9:$I$27,MATCH(B192,'Tolerance log'!$A$9:$A$27,0))-INDEX('Tolerance log'!$F$9:$F$27,MATCH(D192,'Tolerance log'!$A$9:$A$27,0)))</f>
        <v>0.18</v>
      </c>
      <c r="G192" s="10" t="n">
        <f aca="false">ABS(INDEX('Tolerance log'!$H$9:$H$27,MATCH(B192,'Tolerance log'!$A$9:$A$27,0))-INDEX('Tolerance log'!$E$9:$E$27,MATCH(D192,'Tolerance log'!$A$9:$A$27,0)))</f>
        <v>0.0800000000000054</v>
      </c>
      <c r="H192" s="10" t="n">
        <f aca="false">MAX(E192:G192)</f>
        <v>0.529999999999973</v>
      </c>
    </row>
    <row r="193" customFormat="false" ht="15" hidden="false" customHeight="false" outlineLevel="0" collapsed="false">
      <c r="A193" s="7" t="n">
        <v>4</v>
      </c>
      <c r="B193" s="7" t="n">
        <v>8</v>
      </c>
      <c r="C193" s="7" t="str">
        <f aca="false">INDEX('Tolerance log'!$B$9:$B$27,MATCH(B193,'Tolerance log'!$A$9:$A$27,0))</f>
        <v>1008 030626</v>
      </c>
      <c r="D193" s="7" t="n">
        <v>13</v>
      </c>
      <c r="E193" s="10" t="n">
        <f aca="false">ABS(INDEX('Tolerance log'!$G$9:$G$27,MATCH(B193,'Tolerance log'!$A$9:$A$27,0))-INDEX('Tolerance log'!$D$9:$D$27,MATCH(D193,'Tolerance log'!$A$9:$A$27,0)))</f>
        <v>0.389999999999986</v>
      </c>
      <c r="F193" s="10" t="n">
        <f aca="false">ABS(INDEX('Tolerance log'!$I$9:$I$27,MATCH(B193,'Tolerance log'!$A$9:$A$27,0))-INDEX('Tolerance log'!$F$9:$F$27,MATCH(D193,'Tolerance log'!$A$9:$A$27,0)))</f>
        <v>0.189999999999998</v>
      </c>
      <c r="G193" s="10" t="n">
        <f aca="false">ABS(INDEX('Tolerance log'!$H$9:$H$27,MATCH(B193,'Tolerance log'!$A$9:$A$27,0))-INDEX('Tolerance log'!$E$9:$E$27,MATCH(D193,'Tolerance log'!$A$9:$A$27,0)))</f>
        <v>0.109999999999999</v>
      </c>
      <c r="H193" s="10" t="n">
        <f aca="false">MAX(E193:G193)</f>
        <v>0.389999999999986</v>
      </c>
    </row>
    <row r="194" customFormat="false" ht="15" hidden="false" customHeight="false" outlineLevel="0" collapsed="false">
      <c r="A194" s="7" t="n">
        <v>5</v>
      </c>
      <c r="B194" s="7" t="n">
        <v>13</v>
      </c>
      <c r="C194" s="7" t="str">
        <f aca="false">INDEX('Tolerance log'!$B$9:$B$27,MATCH(B194,'Tolerance log'!$A$9:$A$27,0))</f>
        <v>1029 030626</v>
      </c>
      <c r="D194" s="7" t="n">
        <v>14</v>
      </c>
      <c r="E194" s="10" t="n">
        <f aca="false">ABS(INDEX('Tolerance log'!$G$9:$G$27,MATCH(B194,'Tolerance log'!$A$9:$A$27,0))-INDEX('Tolerance log'!$D$9:$D$27,MATCH(D194,'Tolerance log'!$A$9:$A$27,0)))</f>
        <v>0.120000000000005</v>
      </c>
      <c r="F194" s="10" t="n">
        <f aca="false">ABS(INDEX('Tolerance log'!$I$9:$I$27,MATCH(B194,'Tolerance log'!$A$9:$A$27,0))-INDEX('Tolerance log'!$F$9:$F$27,MATCH(D194,'Tolerance log'!$A$9:$A$27,0)))</f>
        <v>0.0700000000000003</v>
      </c>
      <c r="G194" s="10" t="n">
        <f aca="false">ABS(INDEX('Tolerance log'!$H$9:$H$27,MATCH(B194,'Tolerance log'!$A$9:$A$27,0))-INDEX('Tolerance log'!$E$9:$E$27,MATCH(D194,'Tolerance log'!$A$9:$A$27,0)))</f>
        <v>0.23</v>
      </c>
      <c r="H194" s="10" t="n">
        <f aca="false">MAX(E194:G194)</f>
        <v>0.23</v>
      </c>
    </row>
    <row r="195" customFormat="false" ht="15" hidden="false" customHeight="false" outlineLevel="0" collapsed="false">
      <c r="A195" s="7" t="n">
        <v>6</v>
      </c>
      <c r="B195" s="7" t="n">
        <v>14</v>
      </c>
      <c r="C195" s="7" t="str">
        <f aca="false">INDEX('Tolerance log'!$B$9:$B$27,MATCH(B195,'Tolerance log'!$A$9:$A$27,0))</f>
        <v>1012 030626</v>
      </c>
      <c r="D195" s="7" t="n">
        <v>16</v>
      </c>
      <c r="E195" s="10" t="n">
        <f aca="false">ABS(INDEX('Tolerance log'!$G$9:$G$27,MATCH(B195,'Tolerance log'!$A$9:$A$27,0))-INDEX('Tolerance log'!$D$9:$D$27,MATCH(D195,'Tolerance log'!$A$9:$A$27,0)))</f>
        <v>0.360000000000014</v>
      </c>
      <c r="F195" s="10" t="n">
        <f aca="false">ABS(INDEX('Tolerance log'!$I$9:$I$27,MATCH(B195,'Tolerance log'!$A$9:$A$27,0))-INDEX('Tolerance log'!$F$9:$F$27,MATCH(D195,'Tolerance log'!$A$9:$A$27,0)))</f>
        <v>0.210000000000001</v>
      </c>
      <c r="G195" s="10" t="n">
        <f aca="false">ABS(INDEX('Tolerance log'!$H$9:$H$27,MATCH(B195,'Tolerance log'!$A$9:$A$27,0))-INDEX('Tolerance log'!$E$9:$E$27,MATCH(D195,'Tolerance log'!$A$9:$A$27,0)))</f>
        <v>0.290000000000003</v>
      </c>
      <c r="H195" s="10" t="n">
        <f aca="false">MAX(E195:G195)</f>
        <v>0.360000000000014</v>
      </c>
    </row>
    <row r="196" customFormat="false" ht="15" hidden="false" customHeight="false" outlineLevel="0" collapsed="false">
      <c r="A196" s="7" t="n">
        <v>7</v>
      </c>
      <c r="B196" s="7" t="n">
        <v>16</v>
      </c>
      <c r="C196" s="7" t="str">
        <f aca="false">INDEX('Tolerance log'!$B$9:$B$27,MATCH(B196,'Tolerance log'!$A$9:$A$27,0))</f>
        <v>1025 030626</v>
      </c>
      <c r="D196" s="7" t="n">
        <v>15</v>
      </c>
      <c r="E196" s="10" t="n">
        <f aca="false">ABS(INDEX('Tolerance log'!$G$9:$G$27,MATCH(B196,'Tolerance log'!$A$9:$A$27,0))-INDEX('Tolerance log'!$D$9:$D$27,MATCH(D196,'Tolerance log'!$A$9:$A$27,0)))</f>
        <v>0.799999999999983</v>
      </c>
      <c r="F196" s="10" t="n">
        <f aca="false">ABS(INDEX('Tolerance log'!$I$9:$I$27,MATCH(B196,'Tolerance log'!$A$9:$A$27,0))-INDEX('Tolerance log'!$F$9:$F$27,MATCH(D196,'Tolerance log'!$A$9:$A$27,0)))</f>
        <v>0.77</v>
      </c>
      <c r="G196" s="10" t="n">
        <f aca="false">ABS(INDEX('Tolerance log'!$H$9:$H$27,MATCH(B196,'Tolerance log'!$A$9:$A$27,0))-INDEX('Tolerance log'!$E$9:$E$27,MATCH(D196,'Tolerance log'!$A$9:$A$27,0)))</f>
        <v>0.23</v>
      </c>
      <c r="H196" s="10" t="n">
        <f aca="false">MAX(E196:G196)</f>
        <v>0.799999999999983</v>
      </c>
    </row>
    <row r="197" customFormat="false" ht="15" hidden="false" customHeight="false" outlineLevel="0" collapsed="false">
      <c r="A197" s="7" t="n">
        <v>8</v>
      </c>
      <c r="B197" s="7" t="n">
        <v>15</v>
      </c>
      <c r="C197" s="7" t="str">
        <f aca="false">INDEX('Tolerance log'!$B$9:$B$27,MATCH(B197,'Tolerance log'!$A$9:$A$27,0))</f>
        <v>1020 030626</v>
      </c>
      <c r="D197" s="7" t="n">
        <v>12</v>
      </c>
      <c r="E197" s="10" t="n">
        <f aca="false">ABS(INDEX('Tolerance log'!$G$9:$G$27,MATCH(B197,'Tolerance log'!$A$9:$A$27,0))-INDEX('Tolerance log'!$D$9:$D$27,MATCH(D197,'Tolerance log'!$A$9:$A$27,0)))</f>
        <v>0.789999999999992</v>
      </c>
      <c r="F197" s="10" t="n">
        <f aca="false">ABS(INDEX('Tolerance log'!$I$9:$I$27,MATCH(B197,'Tolerance log'!$A$9:$A$27,0))-INDEX('Tolerance log'!$F$9:$F$27,MATCH(D197,'Tolerance log'!$A$9:$A$27,0)))</f>
        <v>0.59</v>
      </c>
      <c r="G197" s="10" t="n">
        <f aca="false">ABS(INDEX('Tolerance log'!$H$9:$H$27,MATCH(B197,'Tolerance log'!$A$9:$A$27,0))-INDEX('Tolerance log'!$E$9:$E$27,MATCH(D197,'Tolerance log'!$A$9:$A$27,0)))</f>
        <v>0.170000000000002</v>
      </c>
      <c r="H197" s="10" t="n">
        <f aca="false">MAX(E197:G197)</f>
        <v>0.789999999999992</v>
      </c>
    </row>
    <row r="198" customFormat="false" ht="15" hidden="false" customHeight="false" outlineLevel="0" collapsed="false">
      <c r="A198" s="7" t="n">
        <v>9</v>
      </c>
      <c r="B198" s="7" t="n">
        <v>12</v>
      </c>
      <c r="C198" s="7" t="str">
        <f aca="false">INDEX('Tolerance log'!$B$9:$B$27,MATCH(B198,'Tolerance log'!$A$9:$A$27,0))</f>
        <v>0741 030626</v>
      </c>
      <c r="D198" s="7" t="n">
        <v>7</v>
      </c>
      <c r="E198" s="10" t="n">
        <f aca="false">ABS(INDEX('Tolerance log'!$G$9:$G$27,MATCH(B198,'Tolerance log'!$A$9:$A$27,0))-INDEX('Tolerance log'!$D$9:$D$27,MATCH(D198,'Tolerance log'!$A$9:$A$27,0)))</f>
        <v>0.280000000000001</v>
      </c>
      <c r="F198" s="10" t="n">
        <f aca="false">ABS(INDEX('Tolerance log'!$I$9:$I$27,MATCH(B198,'Tolerance log'!$A$9:$A$27,0))-INDEX('Tolerance log'!$F$9:$F$27,MATCH(D198,'Tolerance log'!$A$9:$A$27,0)))</f>
        <v>0.449999999999999</v>
      </c>
      <c r="G198" s="10" t="n">
        <f aca="false">ABS(INDEX('Tolerance log'!$H$9:$H$27,MATCH(B198,'Tolerance log'!$A$9:$A$27,0))-INDEX('Tolerance log'!$E$9:$E$27,MATCH(D198,'Tolerance log'!$A$9:$A$27,0)))</f>
        <v>0.52</v>
      </c>
      <c r="H198" s="10" t="n">
        <f aca="false">MAX(E198:G198)</f>
        <v>0.52</v>
      </c>
    </row>
    <row r="199" customFormat="false" ht="15" hidden="false" customHeight="false" outlineLevel="0" collapsed="false">
      <c r="A199" s="7" t="n">
        <v>10</v>
      </c>
      <c r="B199" s="7" t="n">
        <v>7</v>
      </c>
      <c r="C199" s="7" t="str">
        <f aca="false">INDEX('Tolerance log'!$B$9:$B$27,MATCH(B199,'Tolerance log'!$A$9:$A$27,0))</f>
        <v>1011 030626</v>
      </c>
      <c r="D199" s="7" t="n">
        <v>17</v>
      </c>
      <c r="E199" s="10" t="n">
        <f aca="false">ABS(INDEX('Tolerance log'!$G$9:$G$27,MATCH(B199,'Tolerance log'!$A$9:$A$27,0))-INDEX('Tolerance log'!$D$9:$D$27,MATCH(D199,'Tolerance log'!$A$9:$A$27,0)))</f>
        <v>0.829999999999984</v>
      </c>
      <c r="F199" s="10" t="n">
        <f aca="false">ABS(INDEX('Tolerance log'!$I$9:$I$27,MATCH(B199,'Tolerance log'!$A$9:$A$27,0))-INDEX('Tolerance log'!$F$9:$F$27,MATCH(D199,'Tolerance log'!$A$9:$A$27,0)))</f>
        <v>0.280000000000001</v>
      </c>
      <c r="G199" s="10" t="n">
        <f aca="false">ABS(INDEX('Tolerance log'!$H$9:$H$27,MATCH(B199,'Tolerance log'!$A$9:$A$27,0))-INDEX('Tolerance log'!$E$9:$E$27,MATCH(D199,'Tolerance log'!$A$9:$A$27,0)))</f>
        <v>0.34</v>
      </c>
      <c r="H199" s="10" t="n">
        <f aca="false">MAX(E199:G199)</f>
        <v>0.829999999999984</v>
      </c>
    </row>
    <row r="200" customFormat="false" ht="15" hidden="false" customHeight="false" outlineLevel="0" collapsed="false">
      <c r="A200" s="7" t="n">
        <v>11</v>
      </c>
      <c r="B200" s="7" t="n">
        <v>17</v>
      </c>
      <c r="C200" s="7" t="str">
        <f aca="false">INDEX('Tolerance log'!$B$9:$B$27,MATCH(B200,'Tolerance log'!$A$9:$A$27,0))</f>
        <v>1018 030626</v>
      </c>
      <c r="D200" s="7" t="s">
        <v>76</v>
      </c>
      <c r="E200" s="7"/>
      <c r="F200" s="7"/>
      <c r="G200" s="7"/>
      <c r="H200" s="7"/>
    </row>
    <row r="201" customFormat="false" ht="15" hidden="false" customHeight="false" outlineLevel="0" collapsed="false">
      <c r="A201" s="3" t="s">
        <v>77</v>
      </c>
      <c r="B201" s="14" t="n">
        <f aca="false">SUM(H190:H199)</f>
        <v>5.22999999999993</v>
      </c>
      <c r="C201" s="3" t="s">
        <v>78</v>
      </c>
      <c r="D201" s="14" t="n">
        <f aca="false">MAX(H190:H199)</f>
        <v>0.829999999999984</v>
      </c>
    </row>
  </sheetData>
  <mergeCells count="3">
    <mergeCell ref="A3:I3"/>
    <mergeCell ref="A4:I4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2026-10-27T13:36:37Z</dcterms:created>
  <dc:creator>openpyxl</dc:creator>
  <dc:description/>
  <dc:language>en-US</dc:language>
  <cp:lastModifiedBy/>
  <dcterms:modified xsi:type="dcterms:W3CDTF">2026-10-27T13:36:37Z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