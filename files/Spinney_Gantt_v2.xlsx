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ryan/Documents/GitHub/spinney/files/"/>
    </mc:Choice>
  </mc:AlternateContent>
  <xr:revisionPtr revIDLastSave="0" documentId="13_ncr:1_{50FFCF72-77C1-A340-BE9E-D0C4FA8C1F09}" xr6:coauthVersionLast="47" xr6:coauthVersionMax="47" xr10:uidLastSave="{00000000-0000-0000-0000-000000000000}"/>
  <bookViews>
    <workbookView xWindow="8560" yWindow="1560" windowWidth="29800" windowHeight="20420" tabRatio="500" activeTab="2" xr2:uid="{00000000-000D-0000-FFFF-FFFF00000000}"/>
  </bookViews>
  <sheets>
    <sheet name="Gantt" sheetId="1" r:id="rId1"/>
    <sheet name="Task Register" sheetId="2" r:id="rId2"/>
    <sheet name="Reference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7" i="1" l="1"/>
  <c r="G17" i="1"/>
  <c r="H16" i="1"/>
  <c r="G16" i="1"/>
</calcChain>
</file>

<file path=xl/sharedStrings.xml><?xml version="1.0" encoding="utf-8"?>
<sst xmlns="http://schemas.openxmlformats.org/spreadsheetml/2006/main" count="354" uniqueCount="225">
  <si>
    <t>Spinney External Works — Project Gantt (v2 — durations pending Luke's comment)</t>
  </si>
  <si>
    <t>Last updated:</t>
  </si>
  <si>
    <t>Crew basis: Luke +1 (conservative). Durations are planning estimates — Luke to correct.</t>
  </si>
  <si>
    <t>Legend: teal bar = task · gold = milestone / stage gate · grey column = Luke holiday · blue text on yellow = edit these cells (Start / End dates drive the bars)</t>
  </si>
  <si>
    <t>ID</t>
  </si>
  <si>
    <t>Task</t>
  </si>
  <si>
    <t>Owner</t>
  </si>
  <si>
    <t>Depends on</t>
  </si>
  <si>
    <t>Days</t>
  </si>
  <si>
    <t>Status</t>
  </si>
  <si>
    <t>Start</t>
  </si>
  <si>
    <t>End</t>
  </si>
  <si>
    <t>PHASE 1 — SCAFFOLD &amp; AT-HEIGHT WORKS</t>
  </si>
  <si>
    <t>1.0</t>
  </si>
  <si>
    <t>Site setup &amp; garden segregation fencing (family access preserved)</t>
  </si>
  <si>
    <t>Luke +1</t>
  </si>
  <si>
    <t>—</t>
  </si>
  <si>
    <t>Not started</t>
  </si>
  <si>
    <t>1.1</t>
  </si>
  <si>
    <t>Scaffold A + B erection (incl. discrete decking demolition at footing points)</t>
  </si>
  <si>
    <t>Trevor</t>
  </si>
  <si>
    <t>1.2</t>
  </si>
  <si>
    <t>Chimney repair — cut render to substrate, realign, re-render</t>
  </si>
  <si>
    <t>1.3</t>
  </si>
  <si>
    <t>Coping stones — cut back, lead flashing, replace stones, watertight</t>
  </si>
  <si>
    <t>1.4</t>
  </si>
  <si>
    <t>Back-of-house gutters — realign, lead flashing, hedgehog brushes</t>
  </si>
  <si>
    <t>G1</t>
  </si>
  <si>
    <t>STAGE GATE 1 — At-height works sign-off (Lara / Neels / Ryan)</t>
  </si>
  <si>
    <t>Family</t>
  </si>
  <si>
    <t>1.2–1.4</t>
  </si>
  <si>
    <t>1.5</t>
  </si>
  <si>
    <t>Scaffold strike (A + B)</t>
  </si>
  <si>
    <t>PHASE 2 — GROUNDWORKS &amp; DECKING</t>
  </si>
  <si>
    <t>2.1</t>
  </si>
  <si>
    <t>Soakaway drainage, side (a) — partial deck demo, new pipework, reposition existing pipe and realign pump as backup drainage</t>
  </si>
  <si>
    <t>queue after 1.5 *</t>
  </si>
  <si>
    <t>M1</t>
  </si>
  <si>
    <t>Notify V4 Flooring — request decking delivery (auto: decking (a) start − 14 days)</t>
  </si>
  <si>
    <t>Ryan</t>
  </si>
  <si>
    <t>2.3 start</t>
  </si>
  <si>
    <t>2.2</t>
  </si>
  <si>
    <t>V4 delivery — 6t+ Millboard &amp; substructure, PAID IN FULL 9 Jul (landing zone TBC with Luke)</t>
  </si>
  <si>
    <t>V4 Flooring</t>
  </si>
  <si>
    <t>2.3</t>
  </si>
  <si>
    <t>Decking side (a) — strip out, new substructure, lay Millboard per design (access: gate a only)</t>
  </si>
  <si>
    <t>2.1, 2.2</t>
  </si>
  <si>
    <t>G2</t>
  </si>
  <si>
    <t>STAGE GATE 2 — Decking (a) sign-off</t>
  </si>
  <si>
    <t>2.4</t>
  </si>
  <si>
    <t>Decking side (b) — strip out, new substructure, lay Millboard per design (access: gate b only)</t>
  </si>
  <si>
    <t>G2, 3.3</t>
  </si>
  <si>
    <t>G3</t>
  </si>
  <si>
    <t>STAGE GATE 3 — Decking (b) sign-off</t>
  </si>
  <si>
    <t>2.5</t>
  </si>
  <si>
    <t>Bonus — BBQ &amp; shed area from offcuts / excess, side (a)</t>
  </si>
  <si>
    <t>G4</t>
  </si>
  <si>
    <t>PROJECT COMPLETION — snagging &amp; final sign-off</t>
  </si>
  <si>
    <t>All</t>
  </si>
  <si>
    <t>PHASE 3 — FLOATING / RAINY-DAY POOL (pivot here when weather or hold-ups stall the spine)</t>
  </si>
  <si>
    <t>3.1</t>
  </si>
  <si>
    <t>Driveway channel — lift cobbles, dig waste channel, connect softener discharge to natural drainage, reinstate</t>
  </si>
  <si>
    <t>Floating</t>
  </si>
  <si>
    <t>3.2</t>
  </si>
  <si>
    <t>Front-of-house gutters and minor roof repairs— repair / realignment (ladder work)</t>
  </si>
  <si>
    <t>3.3</t>
  </si>
  <si>
    <t>Fence spurring, side (b) — MUST complete before decking side (b) starts (latest finish: Fri 25 Sep on current plan)</t>
  </si>
  <si>
    <t>→ before 2.4</t>
  </si>
  <si>
    <t>3.4</t>
  </si>
  <si>
    <t>Tree / bush clearing back to fence boundary — EXTERNAL company; scope &amp; cost outside this project</t>
  </si>
  <si>
    <t>External co.</t>
  </si>
  <si>
    <t>External</t>
  </si>
  <si>
    <t>3.5</t>
  </si>
  <si>
    <t>Fence relocation — route per TPO outcome (original line or divert around tree)</t>
  </si>
  <si>
    <t>Ext. trees + TPO</t>
  </si>
  <si>
    <t>T1</t>
  </si>
  <si>
    <t>TPO appeal decision — date TBC (branch point for 3.5)</t>
  </si>
  <si>
    <t>TBC</t>
  </si>
  <si>
    <t>Non-working: Luke holiday w/c 27 Jul &amp; w/c 24 Aug (grey columns); UK bank holiday Mon 31 Aug (w/c 31 Aug is a 4-day week).</t>
  </si>
  <si>
    <t>* Assumption: soakaway pipework is NOT gated on scaffold removal — Luke to confirm footing positions don't obstruct pipe runs at erection (Wed 15 Jul). If clear, 2.1 may pull earlier subject to the one-phase-at-a-time rule.</t>
  </si>
  <si>
    <t>Rule: work proceeds only with Luke onsite; one phase at a time (whole crew). Rainy-day pool absorbs weather losses on render/roof work.</t>
  </si>
  <si>
    <t>V4 notify (M1) and delivery (2.2) dates are formulas driven by Decking (a) start — amend 2.3 Start and they re-flow.</t>
  </si>
  <si>
    <t>Luke's outline (1 Jul): render, coping and roofing ~3 working weeks total — v1 durations are more conservative; await his corrections before compressing.</t>
  </si>
  <si>
    <t>Task Register — locations, access discipline &amp; pivot flags</t>
  </si>
  <si>
    <t>Access rule: side (a) works use gate (a) exclusively (top-left entrance, lower/green deck); side (b) works use gate (b) exclusively (bottom-right entrance). No material movement over newly laid Millboard. Orange = upper level to summer house (see Decking_plan.pdf).</t>
  </si>
  <si>
    <t>Workstream</t>
  </si>
  <si>
    <t>Location</t>
  </si>
  <si>
    <t>Access route</t>
  </si>
  <si>
    <t>Weather-sensitive</t>
  </si>
  <si>
    <t>Rainy-day eligible</t>
  </si>
  <si>
    <t>Est. days</t>
  </si>
  <si>
    <t>Notes / assumptions</t>
  </si>
  <si>
    <t>Site setup</t>
  </si>
  <si>
    <t>Garden segregation fencing &amp; site setup</t>
  </si>
  <si>
    <t>Garden (both sides)</t>
  </si>
  <si>
    <t>n/a</t>
  </si>
  <si>
    <t>N</t>
  </si>
  <si>
    <t>Keeps garden usable by family through Summer — working areas fenced, not a building site.</t>
  </si>
  <si>
    <t>Scaffolding</t>
  </si>
  <si>
    <t>Erect Scaffold A (chimney) + Scaffold B (coping/gutters); discrete decking demolition at footing points</t>
  </si>
  <si>
    <t>Roof perimeter, two locations</t>
  </si>
  <si>
    <t>Y</t>
  </si>
  <si>
    <t>Trevor's team. Fixed: Wed 15 – Thu 16 Jul. Both towers up together; remain until Gate 1 sign-off.</t>
  </si>
  <si>
    <t>Chimney</t>
  </si>
  <si>
    <t>Cut render back to substrate, fix alignment, re-render</t>
  </si>
  <si>
    <t>Chimney (Scaffold A)</t>
  </si>
  <si>
    <t>Scaffold A</t>
  </si>
  <si>
    <t>Render weather-sensitive: no rain, not too hot. Target: complete before 22 Aug — first in queue to protect this.</t>
  </si>
  <si>
    <t>Coping stones</t>
  </si>
  <si>
    <t>Cut back, lead flashing, replace coping stones, make watertight</t>
  </si>
  <si>
    <t>Separate elevation (Scaffold B)</t>
  </si>
  <si>
    <t>Scaffold B</t>
  </si>
  <si>
    <t>Independent scaffold structure from chimney.</t>
  </si>
  <si>
    <t>Guttering (back)</t>
  </si>
  <si>
    <t>Re-align, lead flashing, clean &amp; tie down hedgehog brushes</t>
  </si>
  <si>
    <t>Back of house</t>
  </si>
  <si>
    <t>Uses scaffold while up — must complete before strike.</t>
  </si>
  <si>
    <t>Strike Scaffold A + B</t>
  </si>
  <si>
    <t>Both locations</t>
  </si>
  <si>
    <t>Only after Gate 1 sign-off (Lara/Neels/Ryan).</t>
  </si>
  <si>
    <t>Drainage (soakaway)</t>
  </si>
  <si>
    <t>Partial demolition of existing decking, new pipework off downpipes, reposition existing pipe</t>
  </si>
  <si>
    <t>Back garden, side (a)</t>
  </si>
  <si>
    <t>Gate (a)</t>
  </si>
  <si>
    <t>ASSUMPTION: not gated on scaffold removal — Luke to confirm footings don't obstruct pipe runs at erection. Queued after Phase 1 under one-phase rule.</t>
  </si>
  <si>
    <t>Decking</t>
  </si>
  <si>
    <t>V4 Flooring delivery — 6t+ Millboard &amp; substructure</t>
  </si>
  <si>
    <t>Delivery / landing zone</t>
  </si>
  <si>
    <t>TBC with Luke</t>
  </si>
  <si>
    <t>PAID IN FULL 9 Jul 2026 (£32,228.99, ref V4FQ-15584). Notify V4 14 calendar days ahead (M1). Landing zone must not breach gate segregation. 25% restocking on over-ordered materials.</t>
  </si>
  <si>
    <t>Decking (a)</t>
  </si>
  <si>
    <t>Remove existing decking &amp; substructure; install new substructure; lay Millboard per design</t>
  </si>
  <si>
    <t>Soakaway side (a) — green lower + share of orange upper</t>
  </si>
  <si>
    <t>Gate (a) ONLY</t>
  </si>
  <si>
    <t>Begins only after scaffold removed. Entrance = top-left of green deck on plan.</t>
  </si>
  <si>
    <t>Decking (b)</t>
  </si>
  <si>
    <t>As 2.3</t>
  </si>
  <si>
    <t>Driveway side (b)</t>
  </si>
  <si>
    <t>Gate (b) ONLY</t>
  </si>
  <si>
    <t>Entrance = bottom-right of green deck on plan. No crossing over side (a) new boards.</t>
  </si>
  <si>
    <t>Decking (bonus)</t>
  </si>
  <si>
    <t>Lay offcuts / excess for new BBQ &amp; shed area</t>
  </si>
  <si>
    <t>Side (a)</t>
  </si>
  <si>
    <t>Only when decking complete; uses surplus material.</t>
  </si>
  <si>
    <t>Driveway channel</t>
  </si>
  <si>
    <t>Lift bricks/cobbles, dig waste channel, connect water-softener discharge to natural drainage, reinstate cobbles</t>
  </si>
  <si>
    <t>Front driveway</t>
  </si>
  <si>
    <t>Front</t>
  </si>
  <si>
    <t>Active problem — softener currently free-flooding driveway. Prime rainy-day pivot.</t>
  </si>
  <si>
    <t>Guttering (front)</t>
  </si>
  <si>
    <t>Repair / re-alignment</t>
  </si>
  <si>
    <t>Front of house</t>
  </si>
  <si>
    <t>Ladder only</t>
  </si>
  <si>
    <t>No scaffold dependency.</t>
  </si>
  <si>
    <t>Fencing</t>
  </si>
  <si>
    <t>Fence spurring, side (b) first</t>
  </si>
  <si>
    <t>Garden boundary</t>
  </si>
  <si>
    <t>Garden</t>
  </si>
  <si>
    <t>HARD CONSTRAINT: side (b) spurring must complete before decking side (b) begins (2.4) — access otherwise sub-optimal. Rainy-day eligible but with a deadline.</t>
  </si>
  <si>
    <t>Tree / bush clearing back to fence boundary — EXTERNAL company</t>
  </si>
  <si>
    <t>Outside project scope and budget; details and costs handled separately. Prerequisite for fence relocation (3.5) only.</t>
  </si>
  <si>
    <t>Fence relocation — original line (TPO appeal succeeds) or divert around tree (fails)</t>
  </si>
  <si>
    <t>Gated on TPO decision (T1, date TBC). Both routes pre-planned.</t>
  </si>
  <si>
    <t>Reference — contacts, rules, assumptions, sign-off log</t>
  </si>
  <si>
    <t>CONTACTS  (fill in yellow cells — phone / email are placeholders)</t>
  </si>
  <si>
    <t>Name</t>
  </si>
  <si>
    <t>Role</t>
  </si>
  <si>
    <t>Team</t>
  </si>
  <si>
    <t>Phone</t>
  </si>
  <si>
    <t>Email</t>
  </si>
  <si>
    <t>EXAMPLE — Jane Doe</t>
  </si>
  <si>
    <t>Example row — format guide</t>
  </si>
  <si>
    <t>07700 900123</t>
  </si>
  <si>
    <t>jane.doe@example.com</t>
  </si>
  <si>
    <t>Lara</t>
  </si>
  <si>
    <t>Key Decision Maker &amp; Budget Holder</t>
  </si>
  <si>
    <t>Neels</t>
  </si>
  <si>
    <t>Project management support</t>
  </si>
  <si>
    <t>Project manager</t>
  </si>
  <si>
    <t>Luke</t>
  </si>
  <si>
    <t>Chief builder, head of company</t>
  </si>
  <si>
    <t>Ross</t>
  </si>
  <si>
    <t>Right-hand man</t>
  </si>
  <si>
    <t>Max</t>
  </si>
  <si>
    <t>Roy</t>
  </si>
  <si>
    <t>Scaffold team contact</t>
  </si>
  <si>
    <t>Decking materials storage &amp; delivery</t>
  </si>
  <si>
    <t>WORKING RULES</t>
  </si>
  <si>
    <t>• Work proceeds only if Luke is onsite.</t>
  </si>
  <si>
    <t>• One phase at a time — whole crew on one phase; no overlap (e.g. coping stones and drainage never run concurrently).</t>
  </si>
  <si>
    <t>• Crew planning basis: Luke +1 (conservative). Additional hands = schedule upside, never assumed.</t>
  </si>
  <si>
    <t>• Working days: Monday–Friday, excluding Luke's holidays and UK bank holidays.</t>
  </si>
  <si>
    <t>• Luke holidays: 25 Jul – 1 Aug and 22 – 29 Aug 2026. Bank holiday: Mon 31 Aug 2026.</t>
  </si>
  <si>
    <t>• Stage gates signed off by Lara, Ryan and Neels before the next stage begins.</t>
  </si>
  <si>
    <t>• Weather rule: if render/roof work is unfavourable (rain, or too hot to render), crew pivots to the rainy-day pool (Phase 3).</t>
  </si>
  <si>
    <t>• Access discipline: side (a) via gate (a) only; side (b) via gate (b) only. No materials over new Millboard.</t>
  </si>
  <si>
    <t>• V4 Flooring: notify 2 weeks (14 calendar days) before decking materials are required onsite.</t>
  </si>
  <si>
    <t>KEY ASSUMPTIONS (open — to be confirmed)</t>
  </si>
  <si>
    <t>• A1: Scaffold footing positions do not obstruct soakaway pipe runs — Luke to confirm at erection, Wed 15 Jul.</t>
  </si>
  <si>
    <t>• A2: All durations are planning estimates pending Luke's review of this v1.</t>
  </si>
  <si>
    <t>• A3: Decking (a)/(b) split ≈ 2.5 weeks each within the 5-week decking ceiling.</t>
  </si>
  <si>
    <t>• A4: V4 landing zone to be agreed with Luke without breaching gate segregation.</t>
  </si>
  <si>
    <t>• A5: TPO appeal decision date unknown — fence relocation (3.5) floats until known.</t>
  </si>
  <si>
    <t>STAGE GATE SIGN-OFF LOG</t>
  </si>
  <si>
    <t>Gate</t>
  </si>
  <si>
    <t>Description</t>
  </si>
  <si>
    <t>Date signed</t>
  </si>
  <si>
    <t>At-height works (chimney, coping, back gutters) — scaffold may strike</t>
  </si>
  <si>
    <t>Decking side (a) complete</t>
  </si>
  <si>
    <t>Decking side (b) complete</t>
  </si>
  <si>
    <t>Project completion — snagging &amp; final sign-off</t>
  </si>
  <si>
    <t>HOW TO UPDATE THIS WORKBOOK</t>
  </si>
  <si>
    <t>• Edit only blue-on-yellow cells: task Start/End dates (Gantt), Last updated, contact details, and the sign-off log.</t>
  </si>
  <si>
    <t>• Gantt bars redraw automatically from Start/End dates — never colour grid cells by hand.</t>
  </si>
  <si>
    <t>• V4 notify (M1) and delivery (2.2) recalculate from Decking (a) Start — do not overwrite their formulas.</t>
  </si>
  <si>
    <t>• To activate a floating task: give it Start/End dates and change Status from 'Floating' to 'In progress'.</t>
  </si>
  <si>
    <t>• Status values: Not started / In progress / Complete / Blocked / Floating.</t>
  </si>
  <si>
    <t>07791 528837</t>
  </si>
  <si>
    <t>larakriek@gmial.com</t>
  </si>
  <si>
    <t>07880 688027</t>
  </si>
  <si>
    <t>neels.kriek@gmial.com</t>
  </si>
  <si>
    <t>07851 601499</t>
  </si>
  <si>
    <t>ryanbishop23@gmail.com</t>
  </si>
  <si>
    <t>L.G Building and Roofing Ltd</t>
  </si>
  <si>
    <t>01276 488099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</si>
</sst>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\ yyyy"/>
    <numFmt numFmtId="165" formatCode="dd\ mmm"/>
  </numFmts>
  <fonts count="12" x14ac:knownFonts="1">
    <font>
      <sz val="11"/>
      <color theme="1"/>
      <name val="Calibri"/>
      <family val="2"/>
      <charset val="1"/>
    </font>
    <font>
      <b/>
      <sz val="16"/>
      <color rgb="FF0F766E"/>
      <name val="Georgia"/>
      <family val="1"/>
      <charset val="1"/>
    </font>
    <font>
      <b/>
      <sz val="11"/>
      <color rgb="FF1F2937"/>
      <name val="Calibri"/>
      <family val="2"/>
      <charset val="1"/>
    </font>
    <font>
      <sz val="11"/>
      <color rgb="FF0000FF"/>
      <name val="Calibri"/>
      <family val="2"/>
      <charset val="1"/>
    </font>
    <font>
      <i/>
      <sz val="10"/>
      <color rgb="FF6B7280"/>
      <name val="Calibri"/>
      <family val="2"/>
      <charset val="1"/>
    </font>
    <font>
      <b/>
      <sz val="10"/>
      <color rgb="FFFFFFFF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color rgb="FF1F2937"/>
      <name val="Calibri"/>
      <family val="2"/>
      <charset val="1"/>
    </font>
    <font>
      <i/>
      <sz val="10"/>
      <color rgb="FF6B7280"/>
      <name val="Calibri"/>
      <family val="2"/>
    </font>
    <font>
      <u/>
      <sz val="11"/>
      <color theme="10"/>
      <name val="Calibri"/>
      <family val="2"/>
      <charset val="1"/>
    </font>
    <font>
      <sz val="11"/>
      <color rgb="FF1F2937"/>
      <name val="Calibri"/>
      <family val="2"/>
    </font>
    <font>
      <sz val="11"/>
      <color rgb="FF0000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9C4"/>
        <bgColor rgb="FFFFFF99"/>
      </patternFill>
    </fill>
    <fill>
      <patternFill patternType="solid">
        <fgColor rgb="FF0F766E"/>
        <bgColor rgb="FF0D9488"/>
      </patternFill>
    </fill>
    <fill>
      <patternFill patternType="solid">
        <fgColor rgb="FF0D9488"/>
        <bgColor rgb="FF339966"/>
      </patternFill>
    </fill>
    <fill>
      <patternFill patternType="solid">
        <fgColor rgb="FFD1D5DB"/>
        <bgColor rgb="FFC0C0C0"/>
      </patternFill>
    </fill>
    <fill>
      <patternFill patternType="solid">
        <fgColor rgb="FFF0FDFA"/>
        <bgColor rgb="FFF3F4F6"/>
      </patternFill>
    </fill>
    <fill>
      <patternFill patternType="solid">
        <fgColor rgb="FFF3F4F6"/>
        <bgColor rgb="FFF0FDFA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164" fontId="3" fillId="2" borderId="0" xfId="0" applyNumberFormat="1" applyFont="1" applyFill="1" applyAlignment="1">
      <alignment horizontal="center"/>
    </xf>
    <xf numFmtId="0" fontId="4" fillId="0" borderId="0" xfId="0" applyFont="1"/>
    <xf numFmtId="0" fontId="5" fillId="3" borderId="1" xfId="0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0" fontId="6" fillId="4" borderId="0" xfId="0" applyFont="1" applyFill="1" applyAlignment="1">
      <alignment horizontal="left" vertical="center"/>
    </xf>
    <xf numFmtId="0" fontId="0" fillId="4" borderId="0" xfId="0" applyFill="1"/>
    <xf numFmtId="0" fontId="0" fillId="5" borderId="0" xfId="0" applyFill="1"/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0" fillId="5" borderId="1" xfId="0" applyFill="1" applyBorder="1"/>
    <xf numFmtId="0" fontId="2" fillId="0" borderId="1" xfId="0" applyFont="1" applyBorder="1" applyAlignment="1">
      <alignment horizontal="left" vertical="center" wrapText="1"/>
    </xf>
    <xf numFmtId="165" fontId="7" fillId="6" borderId="1" xfId="0" applyNumberFormat="1" applyFont="1" applyFill="1" applyBorder="1" applyAlignment="1">
      <alignment horizontal="center" vertical="center"/>
    </xf>
    <xf numFmtId="165" fontId="0" fillId="0" borderId="0" xfId="0" applyNumberFormat="1"/>
    <xf numFmtId="0" fontId="0" fillId="7" borderId="1" xfId="0" applyFill="1" applyBorder="1"/>
    <xf numFmtId="165" fontId="0" fillId="2" borderId="0" xfId="0" applyNumberFormat="1" applyFill="1"/>
    <xf numFmtId="0" fontId="8" fillId="0" borderId="0" xfId="0" applyFont="1"/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7" fillId="0" borderId="0" xfId="0" applyFont="1"/>
    <xf numFmtId="0" fontId="7" fillId="0" borderId="1" xfId="0" applyFont="1" applyBorder="1"/>
    <xf numFmtId="0" fontId="0" fillId="2" borderId="1" xfId="0" applyFill="1" applyBorder="1"/>
    <xf numFmtId="0" fontId="10" fillId="0" borderId="1" xfId="0" applyFont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9" fillId="2" borderId="1" xfId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12">
    <dxf>
      <fill>
        <patternFill>
          <bgColor rgb="FFF59E0B"/>
        </patternFill>
      </fill>
    </dxf>
    <dxf>
      <fill>
        <patternFill>
          <bgColor rgb="FFF59E0B"/>
        </patternFill>
      </fill>
    </dxf>
    <dxf>
      <fill>
        <patternFill>
          <bgColor rgb="FF0D9488"/>
        </patternFill>
      </fill>
    </dxf>
    <dxf>
      <fill>
        <patternFill>
          <bgColor rgb="FFF59E0B"/>
        </patternFill>
      </fill>
    </dxf>
    <dxf>
      <fill>
        <patternFill>
          <bgColor rgb="FF0D9488"/>
        </patternFill>
      </fill>
    </dxf>
    <dxf>
      <fill>
        <patternFill>
          <bgColor rgb="FFF59E0B"/>
        </patternFill>
      </fill>
    </dxf>
    <dxf>
      <fill>
        <patternFill>
          <bgColor rgb="FF0D9488"/>
        </patternFill>
      </fill>
    </dxf>
    <dxf>
      <fill>
        <patternFill>
          <bgColor rgb="FFF59E0B"/>
        </patternFill>
      </fill>
    </dxf>
    <dxf>
      <fill>
        <patternFill>
          <bgColor rgb="FF0D9488"/>
        </patternFill>
      </fill>
    </dxf>
    <dxf>
      <fill>
        <patternFill>
          <bgColor rgb="FF0D9488"/>
        </patternFill>
      </fill>
    </dxf>
    <dxf>
      <fill>
        <patternFill>
          <bgColor rgb="FFF59E0B"/>
        </patternFill>
      </fill>
    </dxf>
    <dxf>
      <fill>
        <patternFill>
          <bgColor rgb="FF0D9488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FF9C4"/>
      <rgbColor rgb="FFF0FDFA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D9488"/>
      <rgbColor rgb="FF0000FF"/>
      <rgbColor rgb="FF00CCFF"/>
      <rgbColor rgb="FFF3F4F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9E0B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ryanbishop23@gmail.com" TargetMode="External"/><Relationship Id="rId2" Type="http://schemas.openxmlformats.org/officeDocument/2006/relationships/hyperlink" Target="mailto:neels.kriek@gmial.com" TargetMode="External"/><Relationship Id="rId1" Type="http://schemas.openxmlformats.org/officeDocument/2006/relationships/hyperlink" Target="mailto:larakriek@gmia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6"/>
  <sheetViews>
    <sheetView zoomScaleNormal="100" workbookViewId="0">
      <pane ySplit="5" topLeftCell="A6" activePane="bottomLeft" state="frozen"/>
      <selection pane="bottomLeft" activeCell="E45" sqref="E45"/>
    </sheetView>
  </sheetViews>
  <sheetFormatPr baseColWidth="10" defaultColWidth="8.6640625" defaultRowHeight="15" x14ac:dyDescent="0.2"/>
  <cols>
    <col min="1" max="1" width="11" customWidth="1"/>
    <col min="2" max="2" width="97" customWidth="1"/>
    <col min="3" max="3" width="12" customWidth="1"/>
    <col min="4" max="4" width="15" customWidth="1"/>
    <col min="5" max="5" width="6" customWidth="1"/>
    <col min="6" max="6" width="11" customWidth="1"/>
    <col min="7" max="8" width="10" customWidth="1"/>
    <col min="9" max="29" width="7.5" customWidth="1"/>
  </cols>
  <sheetData>
    <row r="1" spans="1:29" ht="21" customHeight="1" x14ac:dyDescent="0.25">
      <c r="A1" s="1" t="s">
        <v>0</v>
      </c>
    </row>
    <row r="2" spans="1:29" x14ac:dyDescent="0.2">
      <c r="A2" s="2" t="s">
        <v>1</v>
      </c>
      <c r="B2" s="3">
        <v>46216</v>
      </c>
      <c r="C2" s="4" t="s">
        <v>2</v>
      </c>
    </row>
    <row r="3" spans="1:29" x14ac:dyDescent="0.2">
      <c r="A3" s="4" t="s">
        <v>3</v>
      </c>
    </row>
    <row r="5" spans="1:29" ht="15.75" customHeight="1" x14ac:dyDescent="0.2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6">
        <v>46216</v>
      </c>
      <c r="J5" s="6">
        <v>46223</v>
      </c>
      <c r="K5" s="6">
        <v>46230</v>
      </c>
      <c r="L5" s="6">
        <v>46237</v>
      </c>
      <c r="M5" s="6">
        <v>46244</v>
      </c>
      <c r="N5" s="6">
        <v>46251</v>
      </c>
      <c r="O5" s="6">
        <v>46258</v>
      </c>
      <c r="P5" s="6">
        <v>46265</v>
      </c>
      <c r="Q5" s="6">
        <v>46272</v>
      </c>
      <c r="R5" s="6">
        <v>46279</v>
      </c>
      <c r="S5" s="6">
        <v>46286</v>
      </c>
      <c r="T5" s="6">
        <v>46293</v>
      </c>
      <c r="U5" s="6">
        <v>46300</v>
      </c>
      <c r="V5" s="6">
        <v>46307</v>
      </c>
      <c r="W5" s="6">
        <v>46314</v>
      </c>
      <c r="X5" s="6">
        <v>46321</v>
      </c>
      <c r="Y5" s="6">
        <v>46328</v>
      </c>
      <c r="Z5" s="6">
        <v>46335</v>
      </c>
      <c r="AA5" s="6">
        <v>46342</v>
      </c>
      <c r="AB5" s="6">
        <v>46349</v>
      </c>
      <c r="AC5" s="6">
        <v>46356</v>
      </c>
    </row>
    <row r="6" spans="1:29" ht="15.75" customHeight="1" x14ac:dyDescent="0.2">
      <c r="A6" s="7" t="s">
        <v>12</v>
      </c>
      <c r="B6" s="8"/>
      <c r="C6" s="8"/>
      <c r="D6" s="8"/>
      <c r="E6" s="8"/>
      <c r="F6" s="8"/>
      <c r="G6" s="8"/>
      <c r="H6" s="8"/>
      <c r="I6" s="8"/>
      <c r="J6" s="8"/>
      <c r="K6" s="9"/>
      <c r="L6" s="8"/>
      <c r="M6" s="8"/>
      <c r="N6" s="8"/>
      <c r="O6" s="9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</row>
    <row r="7" spans="1:29" ht="15.75" customHeight="1" x14ac:dyDescent="0.2">
      <c r="A7" s="10" t="s">
        <v>13</v>
      </c>
      <c r="B7" s="11" t="s">
        <v>14</v>
      </c>
      <c r="C7" s="10" t="s">
        <v>15</v>
      </c>
      <c r="D7" s="10" t="s">
        <v>16</v>
      </c>
      <c r="E7" s="10">
        <v>2</v>
      </c>
      <c r="F7" s="10" t="s">
        <v>17</v>
      </c>
      <c r="G7" s="12">
        <v>46216</v>
      </c>
      <c r="H7" s="12">
        <v>46217</v>
      </c>
      <c r="I7" s="13"/>
      <c r="J7" s="13"/>
      <c r="K7" s="14"/>
      <c r="L7" s="13"/>
      <c r="M7" s="13"/>
      <c r="N7" s="13"/>
      <c r="O7" s="14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</row>
    <row r="8" spans="1:29" ht="15.75" customHeight="1" x14ac:dyDescent="0.2">
      <c r="A8" s="10" t="s">
        <v>18</v>
      </c>
      <c r="B8" s="11" t="s">
        <v>19</v>
      </c>
      <c r="C8" s="10" t="s">
        <v>20</v>
      </c>
      <c r="D8" s="10" t="s">
        <v>13</v>
      </c>
      <c r="E8" s="10">
        <v>2</v>
      </c>
      <c r="F8" s="10" t="s">
        <v>17</v>
      </c>
      <c r="G8" s="12">
        <v>46218</v>
      </c>
      <c r="H8" s="12">
        <v>46219</v>
      </c>
      <c r="I8" s="13"/>
      <c r="J8" s="13"/>
      <c r="K8" s="14"/>
      <c r="L8" s="13"/>
      <c r="M8" s="13"/>
      <c r="N8" s="13"/>
      <c r="O8" s="14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</row>
    <row r="9" spans="1:29" ht="15.75" customHeight="1" x14ac:dyDescent="0.2">
      <c r="A9" s="10" t="s">
        <v>21</v>
      </c>
      <c r="B9" s="11" t="s">
        <v>22</v>
      </c>
      <c r="C9" s="10" t="s">
        <v>15</v>
      </c>
      <c r="D9" s="10" t="s">
        <v>18</v>
      </c>
      <c r="E9" s="10">
        <v>7</v>
      </c>
      <c r="F9" s="10" t="s">
        <v>17</v>
      </c>
      <c r="G9" s="12">
        <v>46219</v>
      </c>
      <c r="H9" s="12">
        <v>46227</v>
      </c>
      <c r="I9" s="13"/>
      <c r="J9" s="13"/>
      <c r="K9" s="14"/>
      <c r="L9" s="13"/>
      <c r="M9" s="13"/>
      <c r="N9" s="13"/>
      <c r="O9" s="14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</row>
    <row r="10" spans="1:29" ht="15.75" customHeight="1" x14ac:dyDescent="0.2">
      <c r="A10" s="10" t="s">
        <v>23</v>
      </c>
      <c r="B10" s="11" t="s">
        <v>24</v>
      </c>
      <c r="C10" s="10" t="s">
        <v>15</v>
      </c>
      <c r="D10" s="10" t="s">
        <v>21</v>
      </c>
      <c r="E10" s="10">
        <v>10</v>
      </c>
      <c r="F10" s="10" t="s">
        <v>17</v>
      </c>
      <c r="G10" s="12">
        <v>46237</v>
      </c>
      <c r="H10" s="12">
        <v>46248</v>
      </c>
      <c r="I10" s="13"/>
      <c r="J10" s="13"/>
      <c r="K10" s="14"/>
      <c r="L10" s="13"/>
      <c r="M10" s="13"/>
      <c r="N10" s="13"/>
      <c r="O10" s="1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</row>
    <row r="11" spans="1:29" ht="15.75" customHeight="1" x14ac:dyDescent="0.2">
      <c r="A11" s="10" t="s">
        <v>25</v>
      </c>
      <c r="B11" s="11" t="s">
        <v>26</v>
      </c>
      <c r="C11" s="10" t="s">
        <v>15</v>
      </c>
      <c r="D11" s="10" t="s">
        <v>23</v>
      </c>
      <c r="E11" s="10">
        <v>3</v>
      </c>
      <c r="F11" s="10" t="s">
        <v>17</v>
      </c>
      <c r="G11" s="12">
        <v>46251</v>
      </c>
      <c r="H11" s="12">
        <v>46253</v>
      </c>
      <c r="I11" s="13"/>
      <c r="J11" s="13"/>
      <c r="K11" s="14"/>
      <c r="L11" s="13"/>
      <c r="M11" s="13"/>
      <c r="N11" s="13"/>
      <c r="O11" s="14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</row>
    <row r="12" spans="1:29" ht="15.75" customHeight="1" x14ac:dyDescent="0.2">
      <c r="A12" s="10" t="s">
        <v>27</v>
      </c>
      <c r="B12" s="15" t="s">
        <v>28</v>
      </c>
      <c r="C12" s="10" t="s">
        <v>29</v>
      </c>
      <c r="D12" s="10" t="s">
        <v>30</v>
      </c>
      <c r="E12" s="10"/>
      <c r="F12" s="10" t="s">
        <v>17</v>
      </c>
      <c r="G12" s="12">
        <v>46254</v>
      </c>
      <c r="H12" s="12">
        <v>46254</v>
      </c>
      <c r="I12" s="13"/>
      <c r="J12" s="13"/>
      <c r="K12" s="14"/>
      <c r="L12" s="13"/>
      <c r="M12" s="13"/>
      <c r="N12" s="13"/>
      <c r="O12" s="14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</row>
    <row r="13" spans="1:29" ht="15.75" customHeight="1" x14ac:dyDescent="0.2">
      <c r="A13" s="10" t="s">
        <v>31</v>
      </c>
      <c r="B13" s="11" t="s">
        <v>32</v>
      </c>
      <c r="C13" s="10" t="s">
        <v>20</v>
      </c>
      <c r="D13" s="10" t="s">
        <v>27</v>
      </c>
      <c r="E13" s="10">
        <v>1</v>
      </c>
      <c r="F13" s="10" t="s">
        <v>17</v>
      </c>
      <c r="G13" s="12">
        <v>46255</v>
      </c>
      <c r="H13" s="12">
        <v>46255</v>
      </c>
      <c r="I13" s="13"/>
      <c r="J13" s="13"/>
      <c r="K13" s="14"/>
      <c r="L13" s="13"/>
      <c r="M13" s="13"/>
      <c r="N13" s="13"/>
      <c r="O13" s="14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</row>
    <row r="14" spans="1:29" ht="15.75" customHeight="1" x14ac:dyDescent="0.2">
      <c r="A14" s="7" t="s">
        <v>33</v>
      </c>
      <c r="B14" s="8"/>
      <c r="C14" s="8"/>
      <c r="D14" s="8"/>
      <c r="E14" s="8"/>
      <c r="F14" s="8"/>
      <c r="G14" s="8"/>
      <c r="H14" s="8"/>
      <c r="I14" s="8"/>
      <c r="J14" s="8"/>
      <c r="K14" s="9"/>
      <c r="L14" s="8"/>
      <c r="M14" s="8"/>
      <c r="N14" s="8"/>
      <c r="O14" s="9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 spans="1:29" ht="15.75" customHeight="1" x14ac:dyDescent="0.2">
      <c r="A15" s="10" t="s">
        <v>34</v>
      </c>
      <c r="B15" s="11" t="s">
        <v>35</v>
      </c>
      <c r="C15" s="10" t="s">
        <v>15</v>
      </c>
      <c r="D15" s="10" t="s">
        <v>36</v>
      </c>
      <c r="E15" s="10">
        <v>5</v>
      </c>
      <c r="F15" s="10" t="s">
        <v>17</v>
      </c>
      <c r="G15" s="12">
        <v>46266</v>
      </c>
      <c r="H15" s="12">
        <v>46272</v>
      </c>
      <c r="I15" s="13"/>
      <c r="J15" s="13"/>
      <c r="K15" s="14"/>
      <c r="L15" s="13"/>
      <c r="M15" s="13"/>
      <c r="N15" s="13"/>
      <c r="O15" s="14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</row>
    <row r="16" spans="1:29" ht="15.75" customHeight="1" x14ac:dyDescent="0.2">
      <c r="A16" s="10" t="s">
        <v>37</v>
      </c>
      <c r="B16" s="15" t="s">
        <v>38</v>
      </c>
      <c r="C16" s="10" t="s">
        <v>39</v>
      </c>
      <c r="D16" s="10" t="s">
        <v>40</v>
      </c>
      <c r="E16" s="10"/>
      <c r="F16" s="10" t="s">
        <v>17</v>
      </c>
      <c r="G16" s="16">
        <f>$G$18-14</f>
        <v>46259</v>
      </c>
      <c r="H16" s="16">
        <f>$G$16</f>
        <v>46259</v>
      </c>
      <c r="I16" s="13"/>
      <c r="J16" s="13"/>
      <c r="K16" s="14"/>
      <c r="L16" s="13"/>
      <c r="M16" s="13"/>
      <c r="N16" s="13"/>
      <c r="O16" s="14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</row>
    <row r="17" spans="1:29" ht="15.75" customHeight="1" x14ac:dyDescent="0.2">
      <c r="A17" s="10" t="s">
        <v>41</v>
      </c>
      <c r="B17" s="11" t="s">
        <v>42</v>
      </c>
      <c r="C17" s="10" t="s">
        <v>43</v>
      </c>
      <c r="D17" s="10" t="s">
        <v>37</v>
      </c>
      <c r="E17" s="10">
        <v>2</v>
      </c>
      <c r="F17" s="10" t="s">
        <v>17</v>
      </c>
      <c r="G17" s="16">
        <f>$G$18-5</f>
        <v>46268</v>
      </c>
      <c r="H17" s="16">
        <f>$G$18-4</f>
        <v>46269</v>
      </c>
      <c r="I17" s="13"/>
      <c r="J17" s="13"/>
      <c r="K17" s="14"/>
      <c r="L17" s="13"/>
      <c r="M17" s="13"/>
      <c r="N17" s="13"/>
      <c r="O17" s="14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</row>
    <row r="18" spans="1:29" ht="15.75" customHeight="1" x14ac:dyDescent="0.2">
      <c r="A18" s="10" t="s">
        <v>44</v>
      </c>
      <c r="B18" s="11" t="s">
        <v>45</v>
      </c>
      <c r="C18" s="10" t="s">
        <v>15</v>
      </c>
      <c r="D18" s="10" t="s">
        <v>46</v>
      </c>
      <c r="E18" s="10">
        <v>13</v>
      </c>
      <c r="F18" s="10" t="s">
        <v>17</v>
      </c>
      <c r="G18" s="12">
        <v>46273</v>
      </c>
      <c r="H18" s="12">
        <v>46289</v>
      </c>
      <c r="I18" s="13"/>
      <c r="J18" s="13"/>
      <c r="K18" s="14"/>
      <c r="L18" s="13"/>
      <c r="M18" s="13"/>
      <c r="N18" s="13"/>
      <c r="O18" s="14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</row>
    <row r="19" spans="1:29" ht="15.75" customHeight="1" x14ac:dyDescent="0.2">
      <c r="A19" s="10" t="s">
        <v>47</v>
      </c>
      <c r="B19" s="15" t="s">
        <v>48</v>
      </c>
      <c r="C19" s="10" t="s">
        <v>29</v>
      </c>
      <c r="D19" s="10" t="s">
        <v>44</v>
      </c>
      <c r="E19" s="10"/>
      <c r="F19" s="10" t="s">
        <v>17</v>
      </c>
      <c r="G19" s="12">
        <v>46290</v>
      </c>
      <c r="H19" s="12">
        <v>46290</v>
      </c>
      <c r="I19" s="13"/>
      <c r="J19" s="13"/>
      <c r="K19" s="14"/>
      <c r="L19" s="13"/>
      <c r="M19" s="13"/>
      <c r="N19" s="13"/>
      <c r="O19" s="14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</row>
    <row r="20" spans="1:29" ht="15.75" customHeight="1" x14ac:dyDescent="0.2">
      <c r="A20" s="10" t="s">
        <v>49</v>
      </c>
      <c r="B20" s="11" t="s">
        <v>50</v>
      </c>
      <c r="C20" s="10" t="s">
        <v>15</v>
      </c>
      <c r="D20" s="10" t="s">
        <v>51</v>
      </c>
      <c r="E20" s="10">
        <v>13</v>
      </c>
      <c r="F20" s="10" t="s">
        <v>17</v>
      </c>
      <c r="G20" s="12">
        <v>46293</v>
      </c>
      <c r="H20" s="12">
        <v>46309</v>
      </c>
      <c r="I20" s="13"/>
      <c r="J20" s="13"/>
      <c r="K20" s="14"/>
      <c r="L20" s="13"/>
      <c r="M20" s="13"/>
      <c r="N20" s="13"/>
      <c r="O20" s="14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</row>
    <row r="21" spans="1:29" ht="15.75" customHeight="1" x14ac:dyDescent="0.2">
      <c r="A21" s="10" t="s">
        <v>52</v>
      </c>
      <c r="B21" s="15" t="s">
        <v>53</v>
      </c>
      <c r="C21" s="10" t="s">
        <v>29</v>
      </c>
      <c r="D21" s="10" t="s">
        <v>49</v>
      </c>
      <c r="E21" s="10"/>
      <c r="F21" s="10" t="s">
        <v>17</v>
      </c>
      <c r="G21" s="12">
        <v>46310</v>
      </c>
      <c r="H21" s="12">
        <v>46310</v>
      </c>
      <c r="I21" s="13"/>
      <c r="J21" s="13"/>
      <c r="K21" s="14"/>
      <c r="L21" s="13"/>
      <c r="M21" s="13"/>
      <c r="N21" s="13"/>
      <c r="O21" s="14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</row>
    <row r="22" spans="1:29" ht="15.75" customHeight="1" x14ac:dyDescent="0.2">
      <c r="A22" s="10" t="s">
        <v>54</v>
      </c>
      <c r="B22" s="11" t="s">
        <v>55</v>
      </c>
      <c r="C22" s="10" t="s">
        <v>15</v>
      </c>
      <c r="D22" s="10" t="s">
        <v>52</v>
      </c>
      <c r="E22" s="10">
        <v>3</v>
      </c>
      <c r="F22" s="10" t="s">
        <v>17</v>
      </c>
      <c r="G22" s="12">
        <v>46311</v>
      </c>
      <c r="H22" s="12">
        <v>46315</v>
      </c>
      <c r="I22" s="13"/>
      <c r="J22" s="13"/>
      <c r="K22" s="14"/>
      <c r="L22" s="13"/>
      <c r="M22" s="13"/>
      <c r="N22" s="13"/>
      <c r="O22" s="14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</row>
    <row r="23" spans="1:29" ht="15.75" customHeight="1" x14ac:dyDescent="0.2">
      <c r="A23" s="10" t="s">
        <v>56</v>
      </c>
      <c r="B23" s="15" t="s">
        <v>57</v>
      </c>
      <c r="C23" s="10" t="s">
        <v>29</v>
      </c>
      <c r="D23" s="10" t="s">
        <v>58</v>
      </c>
      <c r="E23" s="10"/>
      <c r="F23" s="10" t="s">
        <v>17</v>
      </c>
      <c r="G23" s="12">
        <v>46318</v>
      </c>
      <c r="H23" s="12">
        <v>46318</v>
      </c>
      <c r="I23" s="13"/>
      <c r="J23" s="13"/>
      <c r="K23" s="14"/>
      <c r="L23" s="13"/>
      <c r="M23" s="13"/>
      <c r="N23" s="13"/>
      <c r="O23" s="14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</row>
    <row r="24" spans="1:29" ht="15.75" customHeight="1" x14ac:dyDescent="0.2">
      <c r="A24" s="7" t="s">
        <v>59</v>
      </c>
      <c r="B24" s="8"/>
      <c r="C24" s="8"/>
      <c r="D24" s="8"/>
      <c r="E24" s="8"/>
      <c r="F24" s="8"/>
      <c r="G24" s="8"/>
      <c r="H24" s="8"/>
      <c r="I24" s="8"/>
      <c r="J24" s="8"/>
      <c r="K24" s="9"/>
      <c r="L24" s="8"/>
      <c r="M24" s="8"/>
      <c r="N24" s="8"/>
      <c r="O24" s="9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</row>
    <row r="25" spans="1:29" ht="15.75" customHeight="1" x14ac:dyDescent="0.2">
      <c r="A25" s="10" t="s">
        <v>60</v>
      </c>
      <c r="B25" s="11" t="s">
        <v>61</v>
      </c>
      <c r="C25" s="10" t="s">
        <v>15</v>
      </c>
      <c r="D25" s="10" t="s">
        <v>16</v>
      </c>
      <c r="E25" s="10">
        <v>4</v>
      </c>
      <c r="F25" s="10" t="s">
        <v>62</v>
      </c>
      <c r="G25" s="17"/>
      <c r="H25" s="17"/>
      <c r="I25" s="18"/>
      <c r="J25" s="18"/>
      <c r="K25" s="14"/>
      <c r="L25" s="18"/>
      <c r="M25" s="18"/>
      <c r="N25" s="18"/>
      <c r="O25" s="14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</row>
    <row r="26" spans="1:29" ht="15.75" customHeight="1" x14ac:dyDescent="0.2">
      <c r="A26" s="10" t="s">
        <v>63</v>
      </c>
      <c r="B26" s="11" t="s">
        <v>64</v>
      </c>
      <c r="C26" s="10" t="s">
        <v>15</v>
      </c>
      <c r="D26" s="10" t="s">
        <v>16</v>
      </c>
      <c r="E26" s="10">
        <v>2</v>
      </c>
      <c r="F26" s="10" t="s">
        <v>62</v>
      </c>
      <c r="G26" s="17"/>
      <c r="H26" s="17"/>
      <c r="I26" s="18"/>
      <c r="J26" s="18"/>
      <c r="K26" s="14"/>
      <c r="L26" s="18"/>
      <c r="M26" s="18"/>
      <c r="N26" s="18"/>
      <c r="O26" s="14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</row>
    <row r="27" spans="1:29" ht="15.75" customHeight="1" x14ac:dyDescent="0.2">
      <c r="A27" s="10" t="s">
        <v>65</v>
      </c>
      <c r="B27" s="11" t="s">
        <v>66</v>
      </c>
      <c r="C27" s="10" t="s">
        <v>15</v>
      </c>
      <c r="D27" s="10" t="s">
        <v>67</v>
      </c>
      <c r="E27" s="10">
        <v>3</v>
      </c>
      <c r="F27" s="10" t="s">
        <v>62</v>
      </c>
      <c r="G27" s="17"/>
      <c r="H27" s="17"/>
      <c r="I27" s="18"/>
      <c r="J27" s="18"/>
      <c r="K27" s="14"/>
      <c r="L27" s="18"/>
      <c r="M27" s="18"/>
      <c r="N27" s="18"/>
      <c r="O27" s="14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</row>
    <row r="28" spans="1:29" ht="15.75" customHeight="1" x14ac:dyDescent="0.2">
      <c r="A28" s="10" t="s">
        <v>68</v>
      </c>
      <c r="B28" s="11" t="s">
        <v>69</v>
      </c>
      <c r="C28" s="10" t="s">
        <v>70</v>
      </c>
      <c r="D28" s="10" t="s">
        <v>16</v>
      </c>
      <c r="E28" s="10" t="s">
        <v>16</v>
      </c>
      <c r="F28" s="10" t="s">
        <v>71</v>
      </c>
      <c r="G28" s="17"/>
      <c r="H28" s="17"/>
      <c r="I28" s="18"/>
      <c r="J28" s="18"/>
      <c r="K28" s="14"/>
      <c r="L28" s="18"/>
      <c r="M28" s="18"/>
      <c r="N28" s="18"/>
      <c r="O28" s="14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</row>
    <row r="29" spans="1:29" ht="15.75" customHeight="1" x14ac:dyDescent="0.2">
      <c r="A29" s="10" t="s">
        <v>72</v>
      </c>
      <c r="B29" s="11" t="s">
        <v>73</v>
      </c>
      <c r="C29" s="10" t="s">
        <v>15</v>
      </c>
      <c r="D29" s="10" t="s">
        <v>74</v>
      </c>
      <c r="E29" s="10">
        <v>4</v>
      </c>
      <c r="F29" s="10" t="s">
        <v>62</v>
      </c>
      <c r="G29" s="17"/>
      <c r="H29" s="17"/>
      <c r="I29" s="18"/>
      <c r="J29" s="18"/>
      <c r="K29" s="14"/>
      <c r="L29" s="18"/>
      <c r="M29" s="18"/>
      <c r="N29" s="18"/>
      <c r="O29" s="14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</row>
    <row r="30" spans="1:29" ht="15.75" customHeight="1" x14ac:dyDescent="0.2">
      <c r="A30" s="10" t="s">
        <v>75</v>
      </c>
      <c r="B30" s="15" t="s">
        <v>76</v>
      </c>
      <c r="C30" s="10" t="s">
        <v>71</v>
      </c>
      <c r="D30" s="10" t="s">
        <v>16</v>
      </c>
      <c r="E30" s="10"/>
      <c r="F30" s="10" t="s">
        <v>62</v>
      </c>
      <c r="G30" s="19" t="s">
        <v>77</v>
      </c>
      <c r="H30" s="17"/>
      <c r="I30" s="18"/>
      <c r="J30" s="18"/>
      <c r="K30" s="14"/>
      <c r="L30" s="18"/>
      <c r="M30" s="18"/>
      <c r="N30" s="18"/>
      <c r="O30" s="14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</row>
    <row r="32" spans="1:29" x14ac:dyDescent="0.2">
      <c r="A32" s="4" t="s">
        <v>78</v>
      </c>
    </row>
    <row r="33" spans="1:1" x14ac:dyDescent="0.2">
      <c r="A33" s="4" t="s">
        <v>79</v>
      </c>
    </row>
    <row r="34" spans="1:1" x14ac:dyDescent="0.2">
      <c r="A34" s="4" t="s">
        <v>80</v>
      </c>
    </row>
    <row r="35" spans="1:1" x14ac:dyDescent="0.2">
      <c r="A35" s="4" t="s">
        <v>81</v>
      </c>
    </row>
    <row r="36" spans="1:1" x14ac:dyDescent="0.2">
      <c r="A36" s="20" t="s">
        <v>82</v>
      </c>
    </row>
  </sheetData>
  <conditionalFormatting sqref="I7:AC11">
    <cfRule type="expression" dxfId="11" priority="2">
      <formula>AND($G7&lt;&gt;"",$H7&lt;&gt;"",$G7&lt;=I$5+6,$H7&gt;=I$5)</formula>
    </cfRule>
  </conditionalFormatting>
  <conditionalFormatting sqref="I12:AC12">
    <cfRule type="expression" dxfId="10" priority="8">
      <formula>AND(ISNUMBER($G12),ISNUMBER($H12),$G12&lt;=I$5+6,$H12&gt;=I$5)</formula>
    </cfRule>
  </conditionalFormatting>
  <conditionalFormatting sqref="I13:AC13">
    <cfRule type="expression" dxfId="9" priority="3">
      <formula>AND($G13&lt;&gt;"",$H13&lt;&gt;"",$G13&lt;=I$5+6,$H13&gt;=I$5)</formula>
    </cfRule>
  </conditionalFormatting>
  <conditionalFormatting sqref="I15:AC15">
    <cfRule type="expression" dxfId="8" priority="4">
      <formula>AND($G15&lt;&gt;"",$H15&lt;&gt;"",$G15&lt;=I$5+6,$H15&gt;=I$5)</formula>
    </cfRule>
  </conditionalFormatting>
  <conditionalFormatting sqref="I16:AC16">
    <cfRule type="expression" dxfId="7" priority="9">
      <formula>AND(ISNUMBER($G16),ISNUMBER($H16),$G16&lt;=I$5+6,$H16&gt;=I$5)</formula>
    </cfRule>
  </conditionalFormatting>
  <conditionalFormatting sqref="I17:AC18">
    <cfRule type="expression" dxfId="6" priority="5">
      <formula>AND($G17&lt;&gt;"",$H17&lt;&gt;"",$G17&lt;=I$5+6,$H17&gt;=I$5)</formula>
    </cfRule>
  </conditionalFormatting>
  <conditionalFormatting sqref="I19:AC19">
    <cfRule type="expression" dxfId="5" priority="10">
      <formula>AND(ISNUMBER($G19),ISNUMBER($H19),$G19&lt;=I$5+6,$H19&gt;=I$5)</formula>
    </cfRule>
  </conditionalFormatting>
  <conditionalFormatting sqref="I20:AC20">
    <cfRule type="expression" dxfId="4" priority="6">
      <formula>AND($G20&lt;&gt;"",$H20&lt;&gt;"",$G20&lt;=I$5+6,$H20&gt;=I$5)</formula>
    </cfRule>
  </conditionalFormatting>
  <conditionalFormatting sqref="I21:AC21">
    <cfRule type="expression" dxfId="3" priority="11">
      <formula>AND(ISNUMBER($G21),ISNUMBER($H21),$G21&lt;=I$5+6,$H21&gt;=I$5)</formula>
    </cfRule>
  </conditionalFormatting>
  <conditionalFormatting sqref="I22:AC22">
    <cfRule type="expression" dxfId="2" priority="7">
      <formula>AND($G22&lt;&gt;"",$H22&lt;&gt;"",$G22&lt;=I$5+6,$H22&gt;=I$5)</formula>
    </cfRule>
  </conditionalFormatting>
  <conditionalFormatting sqref="I23:AC23">
    <cfRule type="expression" dxfId="1" priority="12">
      <formula>AND(ISNUMBER($G23),ISNUMBER($H23),$G23&lt;=I$5+6,$H23&gt;=I$5)</formula>
    </cfRule>
  </conditionalFormatting>
  <conditionalFormatting sqref="I30:AC30">
    <cfRule type="expression" dxfId="0" priority="13">
      <formula>AND(ISNUMBER($G30),ISNUMBER($H30),$G30&lt;=I$5+6,$H30&gt;=I$5)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"/>
  <sheetViews>
    <sheetView zoomScaleNormal="100" workbookViewId="0">
      <pane ySplit="4" topLeftCell="A5" activePane="bottomLeft" state="frozen"/>
      <selection pane="bottomLeft" activeCell="D30" sqref="D30"/>
    </sheetView>
  </sheetViews>
  <sheetFormatPr baseColWidth="10" defaultColWidth="8.6640625" defaultRowHeight="15" x14ac:dyDescent="0.2"/>
  <cols>
    <col min="1" max="1" width="6" customWidth="1"/>
    <col min="2" max="2" width="16" customWidth="1"/>
    <col min="3" max="3" width="52" customWidth="1"/>
    <col min="4" max="4" width="24" customWidth="1"/>
    <col min="5" max="5" width="14" customWidth="1"/>
    <col min="6" max="7" width="12" customWidth="1"/>
    <col min="8" max="8" width="8" customWidth="1"/>
    <col min="9" max="9" width="60" customWidth="1"/>
  </cols>
  <sheetData>
    <row r="1" spans="1:9" ht="21" customHeight="1" x14ac:dyDescent="0.25">
      <c r="A1" s="1" t="s">
        <v>83</v>
      </c>
    </row>
    <row r="2" spans="1:9" x14ac:dyDescent="0.2">
      <c r="A2" s="21" t="s">
        <v>84</v>
      </c>
    </row>
    <row r="4" spans="1:9" x14ac:dyDescent="0.2">
      <c r="A4" s="5" t="s">
        <v>4</v>
      </c>
      <c r="B4" s="5" t="s">
        <v>85</v>
      </c>
      <c r="C4" s="5" t="s">
        <v>5</v>
      </c>
      <c r="D4" s="5" t="s">
        <v>86</v>
      </c>
      <c r="E4" s="5" t="s">
        <v>87</v>
      </c>
      <c r="F4" s="5" t="s">
        <v>88</v>
      </c>
      <c r="G4" s="5" t="s">
        <v>89</v>
      </c>
      <c r="H4" s="5" t="s">
        <v>90</v>
      </c>
      <c r="I4" s="5" t="s">
        <v>91</v>
      </c>
    </row>
    <row r="5" spans="1:9" ht="31.5" customHeight="1" x14ac:dyDescent="0.2">
      <c r="A5" s="10" t="s">
        <v>13</v>
      </c>
      <c r="B5" s="10" t="s">
        <v>92</v>
      </c>
      <c r="C5" s="11" t="s">
        <v>93</v>
      </c>
      <c r="D5" s="10" t="s">
        <v>94</v>
      </c>
      <c r="E5" s="10" t="s">
        <v>95</v>
      </c>
      <c r="F5" s="10" t="s">
        <v>96</v>
      </c>
      <c r="G5" s="10" t="s">
        <v>96</v>
      </c>
      <c r="H5" s="10">
        <v>2</v>
      </c>
      <c r="I5" s="11" t="s">
        <v>97</v>
      </c>
    </row>
    <row r="6" spans="1:9" ht="31.5" customHeight="1" x14ac:dyDescent="0.2">
      <c r="A6" s="10" t="s">
        <v>18</v>
      </c>
      <c r="B6" s="10" t="s">
        <v>98</v>
      </c>
      <c r="C6" s="11" t="s">
        <v>99</v>
      </c>
      <c r="D6" s="10" t="s">
        <v>100</v>
      </c>
      <c r="E6" s="10" t="s">
        <v>95</v>
      </c>
      <c r="F6" s="10" t="s">
        <v>101</v>
      </c>
      <c r="G6" s="10" t="s">
        <v>96</v>
      </c>
      <c r="H6" s="10">
        <v>2</v>
      </c>
      <c r="I6" s="11" t="s">
        <v>102</v>
      </c>
    </row>
    <row r="7" spans="1:9" ht="31.5" customHeight="1" x14ac:dyDescent="0.2">
      <c r="A7" s="10" t="s">
        <v>21</v>
      </c>
      <c r="B7" s="10" t="s">
        <v>103</v>
      </c>
      <c r="C7" s="11" t="s">
        <v>104</v>
      </c>
      <c r="D7" s="10" t="s">
        <v>105</v>
      </c>
      <c r="E7" s="10" t="s">
        <v>106</v>
      </c>
      <c r="F7" s="10" t="s">
        <v>101</v>
      </c>
      <c r="G7" s="10" t="s">
        <v>96</v>
      </c>
      <c r="H7" s="10">
        <v>7</v>
      </c>
      <c r="I7" s="11" t="s">
        <v>107</v>
      </c>
    </row>
    <row r="8" spans="1:9" ht="15.75" customHeight="1" x14ac:dyDescent="0.2">
      <c r="A8" s="10" t="s">
        <v>23</v>
      </c>
      <c r="B8" s="10" t="s">
        <v>108</v>
      </c>
      <c r="C8" s="11" t="s">
        <v>109</v>
      </c>
      <c r="D8" s="10" t="s">
        <v>110</v>
      </c>
      <c r="E8" s="10" t="s">
        <v>111</v>
      </c>
      <c r="F8" s="10" t="s">
        <v>101</v>
      </c>
      <c r="G8" s="10" t="s">
        <v>96</v>
      </c>
      <c r="H8" s="10">
        <v>10</v>
      </c>
      <c r="I8" s="11" t="s">
        <v>112</v>
      </c>
    </row>
    <row r="9" spans="1:9" ht="15.75" customHeight="1" x14ac:dyDescent="0.2">
      <c r="A9" s="10" t="s">
        <v>25</v>
      </c>
      <c r="B9" s="10" t="s">
        <v>113</v>
      </c>
      <c r="C9" s="11" t="s">
        <v>114</v>
      </c>
      <c r="D9" s="10" t="s">
        <v>115</v>
      </c>
      <c r="E9" s="10" t="s">
        <v>111</v>
      </c>
      <c r="F9" s="10" t="s">
        <v>101</v>
      </c>
      <c r="G9" s="10" t="s">
        <v>96</v>
      </c>
      <c r="H9" s="10">
        <v>3</v>
      </c>
      <c r="I9" s="11" t="s">
        <v>116</v>
      </c>
    </row>
    <row r="10" spans="1:9" ht="15.75" customHeight="1" x14ac:dyDescent="0.2">
      <c r="A10" s="10" t="s">
        <v>31</v>
      </c>
      <c r="B10" s="10" t="s">
        <v>98</v>
      </c>
      <c r="C10" s="11" t="s">
        <v>117</v>
      </c>
      <c r="D10" s="10" t="s">
        <v>118</v>
      </c>
      <c r="E10" s="10" t="s">
        <v>95</v>
      </c>
      <c r="F10" s="10" t="s">
        <v>96</v>
      </c>
      <c r="G10" s="10" t="s">
        <v>96</v>
      </c>
      <c r="H10" s="10">
        <v>1</v>
      </c>
      <c r="I10" s="11" t="s">
        <v>119</v>
      </c>
    </row>
    <row r="11" spans="1:9" ht="48" customHeight="1" x14ac:dyDescent="0.2">
      <c r="A11" s="10" t="s">
        <v>34</v>
      </c>
      <c r="B11" s="10" t="s">
        <v>120</v>
      </c>
      <c r="C11" s="11" t="s">
        <v>121</v>
      </c>
      <c r="D11" s="10" t="s">
        <v>122</v>
      </c>
      <c r="E11" s="10" t="s">
        <v>123</v>
      </c>
      <c r="F11" s="10" t="s">
        <v>96</v>
      </c>
      <c r="G11" s="10" t="s">
        <v>96</v>
      </c>
      <c r="H11" s="10">
        <v>5</v>
      </c>
      <c r="I11" s="11" t="s">
        <v>124</v>
      </c>
    </row>
    <row r="12" spans="1:9" ht="31.5" customHeight="1" x14ac:dyDescent="0.2">
      <c r="A12" s="10" t="s">
        <v>41</v>
      </c>
      <c r="B12" s="10" t="s">
        <v>125</v>
      </c>
      <c r="C12" s="11" t="s">
        <v>126</v>
      </c>
      <c r="D12" s="10" t="s">
        <v>127</v>
      </c>
      <c r="E12" s="10" t="s">
        <v>128</v>
      </c>
      <c r="F12" s="10" t="s">
        <v>96</v>
      </c>
      <c r="G12" s="10" t="s">
        <v>96</v>
      </c>
      <c r="H12" s="10">
        <v>2</v>
      </c>
      <c r="I12" s="11" t="s">
        <v>129</v>
      </c>
    </row>
    <row r="13" spans="1:9" ht="31.5" customHeight="1" x14ac:dyDescent="0.2">
      <c r="A13" s="10" t="s">
        <v>44</v>
      </c>
      <c r="B13" s="10" t="s">
        <v>130</v>
      </c>
      <c r="C13" s="11" t="s">
        <v>131</v>
      </c>
      <c r="D13" s="10" t="s">
        <v>132</v>
      </c>
      <c r="E13" s="10" t="s">
        <v>133</v>
      </c>
      <c r="F13" s="10" t="s">
        <v>96</v>
      </c>
      <c r="G13" s="10" t="s">
        <v>96</v>
      </c>
      <c r="H13" s="10">
        <v>13</v>
      </c>
      <c r="I13" s="11" t="s">
        <v>134</v>
      </c>
    </row>
    <row r="14" spans="1:9" ht="31.5" customHeight="1" x14ac:dyDescent="0.2">
      <c r="A14" s="10" t="s">
        <v>49</v>
      </c>
      <c r="B14" s="10" t="s">
        <v>135</v>
      </c>
      <c r="C14" s="11" t="s">
        <v>136</v>
      </c>
      <c r="D14" s="10" t="s">
        <v>137</v>
      </c>
      <c r="E14" s="10" t="s">
        <v>138</v>
      </c>
      <c r="F14" s="10" t="s">
        <v>96</v>
      </c>
      <c r="G14" s="10" t="s">
        <v>96</v>
      </c>
      <c r="H14" s="10">
        <v>13</v>
      </c>
      <c r="I14" s="11" t="s">
        <v>139</v>
      </c>
    </row>
    <row r="15" spans="1:9" ht="15.75" customHeight="1" x14ac:dyDescent="0.2">
      <c r="A15" s="10" t="s">
        <v>54</v>
      </c>
      <c r="B15" s="10" t="s">
        <v>140</v>
      </c>
      <c r="C15" s="11" t="s">
        <v>141</v>
      </c>
      <c r="D15" s="10" t="s">
        <v>142</v>
      </c>
      <c r="E15" s="10" t="s">
        <v>123</v>
      </c>
      <c r="F15" s="10" t="s">
        <v>96</v>
      </c>
      <c r="G15" s="10" t="s">
        <v>101</v>
      </c>
      <c r="H15" s="10">
        <v>3</v>
      </c>
      <c r="I15" s="11" t="s">
        <v>143</v>
      </c>
    </row>
    <row r="16" spans="1:9" ht="31.5" customHeight="1" x14ac:dyDescent="0.2">
      <c r="A16" s="10" t="s">
        <v>60</v>
      </c>
      <c r="B16" s="10" t="s">
        <v>144</v>
      </c>
      <c r="C16" s="11" t="s">
        <v>145</v>
      </c>
      <c r="D16" s="10" t="s">
        <v>146</v>
      </c>
      <c r="E16" s="10" t="s">
        <v>147</v>
      </c>
      <c r="F16" s="10" t="s">
        <v>96</v>
      </c>
      <c r="G16" s="10" t="s">
        <v>101</v>
      </c>
      <c r="H16" s="10">
        <v>4</v>
      </c>
      <c r="I16" s="11" t="s">
        <v>148</v>
      </c>
    </row>
    <row r="17" spans="1:9" ht="15.75" customHeight="1" x14ac:dyDescent="0.2">
      <c r="A17" s="10" t="s">
        <v>63</v>
      </c>
      <c r="B17" s="10" t="s">
        <v>149</v>
      </c>
      <c r="C17" s="11" t="s">
        <v>150</v>
      </c>
      <c r="D17" s="10" t="s">
        <v>151</v>
      </c>
      <c r="E17" s="10" t="s">
        <v>152</v>
      </c>
      <c r="F17" s="10" t="s">
        <v>96</v>
      </c>
      <c r="G17" s="10" t="s">
        <v>101</v>
      </c>
      <c r="H17" s="10">
        <v>2</v>
      </c>
      <c r="I17" s="11" t="s">
        <v>153</v>
      </c>
    </row>
    <row r="18" spans="1:9" ht="15.75" customHeight="1" x14ac:dyDescent="0.2">
      <c r="A18" s="10" t="s">
        <v>65</v>
      </c>
      <c r="B18" s="10" t="s">
        <v>154</v>
      </c>
      <c r="C18" s="11" t="s">
        <v>155</v>
      </c>
      <c r="D18" s="10" t="s">
        <v>156</v>
      </c>
      <c r="E18" s="10" t="s">
        <v>157</v>
      </c>
      <c r="F18" s="10" t="s">
        <v>96</v>
      </c>
      <c r="G18" s="10" t="s">
        <v>101</v>
      </c>
      <c r="H18" s="10">
        <v>3</v>
      </c>
      <c r="I18" s="11" t="s">
        <v>158</v>
      </c>
    </row>
    <row r="19" spans="1:9" ht="15.75" customHeight="1" x14ac:dyDescent="0.2">
      <c r="A19" s="10" t="s">
        <v>68</v>
      </c>
      <c r="B19" s="10" t="s">
        <v>154</v>
      </c>
      <c r="C19" s="11" t="s">
        <v>159</v>
      </c>
      <c r="D19" s="10" t="s">
        <v>156</v>
      </c>
      <c r="E19" s="10" t="s">
        <v>157</v>
      </c>
      <c r="F19" s="10" t="s">
        <v>96</v>
      </c>
      <c r="G19" s="10" t="s">
        <v>101</v>
      </c>
      <c r="H19" s="10">
        <v>2</v>
      </c>
      <c r="I19" s="11" t="s">
        <v>160</v>
      </c>
    </row>
    <row r="20" spans="1:9" ht="31.5" customHeight="1" x14ac:dyDescent="0.2">
      <c r="A20" s="10" t="s">
        <v>72</v>
      </c>
      <c r="B20" s="10" t="s">
        <v>154</v>
      </c>
      <c r="C20" s="11" t="s">
        <v>161</v>
      </c>
      <c r="D20" s="10" t="s">
        <v>156</v>
      </c>
      <c r="E20" s="10" t="s">
        <v>157</v>
      </c>
      <c r="F20" s="10" t="s">
        <v>96</v>
      </c>
      <c r="G20" s="10" t="s">
        <v>101</v>
      </c>
      <c r="H20" s="10">
        <v>4</v>
      </c>
      <c r="I20" s="11" t="s">
        <v>162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7"/>
  <sheetViews>
    <sheetView tabSelected="1" zoomScaleNormal="100" workbookViewId="0">
      <selection activeCell="J27" sqref="J27"/>
    </sheetView>
  </sheetViews>
  <sheetFormatPr baseColWidth="10" defaultColWidth="8.6640625" defaultRowHeight="15" x14ac:dyDescent="0.2"/>
  <cols>
    <col min="1" max="1" width="26" customWidth="1"/>
    <col min="2" max="2" width="56" customWidth="1"/>
    <col min="3" max="3" width="12" customWidth="1"/>
    <col min="4" max="4" width="16" customWidth="1"/>
    <col min="5" max="5" width="21.6640625" customWidth="1"/>
    <col min="6" max="6" width="16" customWidth="1"/>
  </cols>
  <sheetData>
    <row r="1" spans="1:5" ht="21" customHeight="1" x14ac:dyDescent="0.25">
      <c r="A1" s="1" t="s">
        <v>163</v>
      </c>
    </row>
    <row r="3" spans="1:5" x14ac:dyDescent="0.2">
      <c r="A3" s="2" t="s">
        <v>164</v>
      </c>
    </row>
    <row r="4" spans="1:5" x14ac:dyDescent="0.2">
      <c r="A4" s="5" t="s">
        <v>165</v>
      </c>
      <c r="B4" s="5" t="s">
        <v>166</v>
      </c>
      <c r="C4" s="5" t="s">
        <v>167</v>
      </c>
      <c r="D4" s="5" t="s">
        <v>168</v>
      </c>
      <c r="E4" s="5" t="s">
        <v>169</v>
      </c>
    </row>
    <row r="5" spans="1:5" ht="30" customHeight="1" x14ac:dyDescent="0.2">
      <c r="A5" s="22" t="s">
        <v>170</v>
      </c>
      <c r="B5" s="22" t="s">
        <v>171</v>
      </c>
      <c r="C5" s="22" t="s">
        <v>16</v>
      </c>
      <c r="D5" s="22" t="s">
        <v>172</v>
      </c>
      <c r="E5" s="22" t="s">
        <v>173</v>
      </c>
    </row>
    <row r="6" spans="1:5" ht="15.75" customHeight="1" x14ac:dyDescent="0.2">
      <c r="A6" s="11" t="s">
        <v>174</v>
      </c>
      <c r="B6" s="11" t="s">
        <v>175</v>
      </c>
      <c r="C6" s="26" t="s">
        <v>29</v>
      </c>
      <c r="D6" s="27" t="s">
        <v>217</v>
      </c>
      <c r="E6" s="28" t="s">
        <v>218</v>
      </c>
    </row>
    <row r="7" spans="1:5" ht="15.75" customHeight="1" x14ac:dyDescent="0.2">
      <c r="A7" s="11" t="s">
        <v>176</v>
      </c>
      <c r="B7" s="11" t="s">
        <v>177</v>
      </c>
      <c r="C7" s="26" t="s">
        <v>29</v>
      </c>
      <c r="D7" s="27" t="s">
        <v>219</v>
      </c>
      <c r="E7" s="28" t="s">
        <v>220</v>
      </c>
    </row>
    <row r="8" spans="1:5" ht="15.75" customHeight="1" x14ac:dyDescent="0.2">
      <c r="A8" s="11" t="s">
        <v>39</v>
      </c>
      <c r="B8" s="11" t="s">
        <v>178</v>
      </c>
      <c r="C8" s="26" t="s">
        <v>29</v>
      </c>
      <c r="D8" s="27" t="s">
        <v>221</v>
      </c>
      <c r="E8" s="28" t="s">
        <v>222</v>
      </c>
    </row>
    <row r="9" spans="1:5" ht="15.75" customHeight="1" x14ac:dyDescent="0.2">
      <c r="A9" s="11" t="s">
        <v>179</v>
      </c>
      <c r="B9" s="11" t="s">
        <v>180</v>
      </c>
      <c r="C9" s="26" t="s">
        <v>223</v>
      </c>
      <c r="D9" s="27"/>
      <c r="E9" s="27"/>
    </row>
    <row r="10" spans="1:5" ht="15.75" customHeight="1" x14ac:dyDescent="0.2">
      <c r="A10" s="11" t="s">
        <v>181</v>
      </c>
      <c r="B10" s="11" t="s">
        <v>182</v>
      </c>
      <c r="C10" s="26" t="s">
        <v>223</v>
      </c>
      <c r="D10" s="27"/>
      <c r="E10" s="27"/>
    </row>
    <row r="11" spans="1:5" ht="15.75" customHeight="1" x14ac:dyDescent="0.2">
      <c r="A11" s="11" t="s">
        <v>183</v>
      </c>
      <c r="B11" s="11" t="s">
        <v>182</v>
      </c>
      <c r="C11" s="26" t="s">
        <v>223</v>
      </c>
      <c r="D11" s="27"/>
      <c r="E11" s="27"/>
    </row>
    <row r="12" spans="1:5" ht="15.75" customHeight="1" x14ac:dyDescent="0.2">
      <c r="A12" s="11" t="s">
        <v>184</v>
      </c>
      <c r="B12" s="11" t="s">
        <v>182</v>
      </c>
      <c r="C12" s="26" t="s">
        <v>223</v>
      </c>
      <c r="D12" s="27"/>
      <c r="E12" s="27"/>
    </row>
    <row r="13" spans="1:5" ht="15.75" customHeight="1" x14ac:dyDescent="0.2">
      <c r="A13" s="11" t="s">
        <v>20</v>
      </c>
      <c r="B13" s="11" t="s">
        <v>185</v>
      </c>
      <c r="C13" s="26" t="s">
        <v>223</v>
      </c>
      <c r="D13" s="27"/>
      <c r="E13" s="27"/>
    </row>
    <row r="14" spans="1:5" ht="15.75" customHeight="1" x14ac:dyDescent="0.2">
      <c r="A14" s="11" t="s">
        <v>43</v>
      </c>
      <c r="B14" s="11" t="s">
        <v>186</v>
      </c>
      <c r="C14" s="26" t="s">
        <v>43</v>
      </c>
      <c r="D14" s="27" t="s">
        <v>224</v>
      </c>
      <c r="E14" s="27"/>
    </row>
    <row r="17" spans="1:1" x14ac:dyDescent="0.2">
      <c r="A17" s="2" t="s">
        <v>187</v>
      </c>
    </row>
    <row r="18" spans="1:1" x14ac:dyDescent="0.2">
      <c r="A18" s="23" t="s">
        <v>188</v>
      </c>
    </row>
    <row r="19" spans="1:1" x14ac:dyDescent="0.2">
      <c r="A19" s="23" t="s">
        <v>189</v>
      </c>
    </row>
    <row r="20" spans="1:1" x14ac:dyDescent="0.2">
      <c r="A20" s="23" t="s">
        <v>190</v>
      </c>
    </row>
    <row r="21" spans="1:1" x14ac:dyDescent="0.2">
      <c r="A21" s="23" t="s">
        <v>191</v>
      </c>
    </row>
    <row r="22" spans="1:1" x14ac:dyDescent="0.2">
      <c r="A22" s="23" t="s">
        <v>192</v>
      </c>
    </row>
    <row r="23" spans="1:1" x14ac:dyDescent="0.2">
      <c r="A23" s="23" t="s">
        <v>193</v>
      </c>
    </row>
    <row r="24" spans="1:1" x14ac:dyDescent="0.2">
      <c r="A24" s="23" t="s">
        <v>194</v>
      </c>
    </row>
    <row r="25" spans="1:1" x14ac:dyDescent="0.2">
      <c r="A25" s="23" t="s">
        <v>195</v>
      </c>
    </row>
    <row r="26" spans="1:1" x14ac:dyDescent="0.2">
      <c r="A26" s="23" t="s">
        <v>196</v>
      </c>
    </row>
    <row r="28" spans="1:1" x14ac:dyDescent="0.2">
      <c r="A28" s="2" t="s">
        <v>197</v>
      </c>
    </row>
    <row r="29" spans="1:1" x14ac:dyDescent="0.2">
      <c r="A29" s="23" t="s">
        <v>198</v>
      </c>
    </row>
    <row r="30" spans="1:1" x14ac:dyDescent="0.2">
      <c r="A30" s="23" t="s">
        <v>199</v>
      </c>
    </row>
    <row r="31" spans="1:1" x14ac:dyDescent="0.2">
      <c r="A31" s="23" t="s">
        <v>200</v>
      </c>
    </row>
    <row r="32" spans="1:1" x14ac:dyDescent="0.2">
      <c r="A32" s="23" t="s">
        <v>201</v>
      </c>
    </row>
    <row r="33" spans="1:6" x14ac:dyDescent="0.2">
      <c r="A33" s="23" t="s">
        <v>202</v>
      </c>
    </row>
    <row r="35" spans="1:6" x14ac:dyDescent="0.2">
      <c r="A35" s="2" t="s">
        <v>203</v>
      </c>
    </row>
    <row r="36" spans="1:6" x14ac:dyDescent="0.2">
      <c r="A36" s="5" t="s">
        <v>204</v>
      </c>
      <c r="B36" s="5" t="s">
        <v>205</v>
      </c>
      <c r="C36" s="5" t="s">
        <v>206</v>
      </c>
      <c r="D36" s="5" t="s">
        <v>174</v>
      </c>
      <c r="E36" s="5" t="s">
        <v>176</v>
      </c>
      <c r="F36" s="5" t="s">
        <v>39</v>
      </c>
    </row>
    <row r="37" spans="1:6" x14ac:dyDescent="0.2">
      <c r="A37" s="24" t="s">
        <v>27</v>
      </c>
      <c r="B37" s="24" t="s">
        <v>207</v>
      </c>
      <c r="C37" s="25"/>
      <c r="D37" s="25"/>
      <c r="E37" s="25"/>
      <c r="F37" s="25"/>
    </row>
    <row r="38" spans="1:6" x14ac:dyDescent="0.2">
      <c r="A38" s="24" t="s">
        <v>47</v>
      </c>
      <c r="B38" s="24" t="s">
        <v>208</v>
      </c>
      <c r="C38" s="25"/>
      <c r="D38" s="25"/>
      <c r="E38" s="25"/>
      <c r="F38" s="25"/>
    </row>
    <row r="39" spans="1:6" x14ac:dyDescent="0.2">
      <c r="A39" s="24" t="s">
        <v>52</v>
      </c>
      <c r="B39" s="24" t="s">
        <v>209</v>
      </c>
      <c r="C39" s="25"/>
      <c r="D39" s="25"/>
      <c r="E39" s="25"/>
      <c r="F39" s="25"/>
    </row>
    <row r="40" spans="1:6" x14ac:dyDescent="0.2">
      <c r="A40" s="24" t="s">
        <v>56</v>
      </c>
      <c r="B40" s="24" t="s">
        <v>210</v>
      </c>
      <c r="C40" s="25"/>
      <c r="D40" s="25"/>
      <c r="E40" s="25"/>
      <c r="F40" s="25"/>
    </row>
    <row r="42" spans="1:6" x14ac:dyDescent="0.2">
      <c r="A42" s="2" t="s">
        <v>211</v>
      </c>
    </row>
    <row r="43" spans="1:6" x14ac:dyDescent="0.2">
      <c r="A43" s="23" t="s">
        <v>212</v>
      </c>
    </row>
    <row r="44" spans="1:6" x14ac:dyDescent="0.2">
      <c r="A44" s="23" t="s">
        <v>213</v>
      </c>
    </row>
    <row r="45" spans="1:6" x14ac:dyDescent="0.2">
      <c r="A45" s="23" t="s">
        <v>214</v>
      </c>
    </row>
    <row r="46" spans="1:6" x14ac:dyDescent="0.2">
      <c r="A46" s="23" t="s">
        <v>215</v>
      </c>
    </row>
    <row r="47" spans="1:6" x14ac:dyDescent="0.2">
      <c r="A47" s="23" t="s">
        <v>216</v>
      </c>
    </row>
  </sheetData>
  <hyperlinks>
    <hyperlink ref="E6" r:id="rId1" xr:uid="{57C6B42B-C1FF-6F45-875D-9CBF9EA5DA08}"/>
    <hyperlink ref="E7" r:id="rId2" xr:uid="{1A9FA7E6-1882-534E-BC0A-70178EDDA1BD}"/>
    <hyperlink ref="E8" r:id="rId3" xr:uid="{D8149E6D-6352-7F41-A04B-1E4166893763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Gantt</vt:lpstr>
      <vt:lpstr>Task Register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Ryan Bishop (rsb1e25)</cp:lastModifiedBy>
  <cp:revision>0</cp:revision>
  <dcterms:created xsi:type="dcterms:W3CDTF">2026-07-13T19:19:38Z</dcterms:created>
  <dcterms:modified xsi:type="dcterms:W3CDTF">2026-07-14T06:56:42Z</dcterms:modified>
  <dc:language>en-US</dc:language>
</cp:coreProperties>
</file>