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antt" sheetId="1" state="visible" r:id="rId3"/>
    <sheet name="Task Register" sheetId="2" state="visible" r:id="rId4"/>
    <sheet name="Referen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<sst xmlns="http://schemas.openxmlformats.org/spreadsheetml/2006/main" count="550" uniqueCount="334">
  <si>
    <t xml:space="preserve">Spinney External Works — Project Gantt (v11 — 30 Oct: extended decking almost finished (completes Mon 2 Nov); shed nearly built (finishes Tue 3 Nov); V4 delivery incl. 193 Ashwood boards Wed 4 Nov; electrics final fix Thu 12 Nov)</t>
  </si>
  <si>
    <t xml:space="preserve">Last updated:</t>
  </si>
  <si>
    <t xml:space="preserve">Crew basis: Luke +1. Works now running in PARALLEL (chimney/coping/soakaway simultaneously), superseding the original one-phase-at-a-time model. Luke's 22–29 Aug holiday is the binding constraint on decking start, not sequential dependencies.</t>
  </si>
  <si>
    <t xml:space="preserve">Legend: teal bar = task · gold = milestone / stage gate · grey column = Luke holiday · blue text on yellow = edit these cells (Start / End dates drive the bars)</t>
  </si>
  <si>
    <t xml:space="preserve">ID</t>
  </si>
  <si>
    <t xml:space="preserve">Task</t>
  </si>
  <si>
    <t xml:space="preserve">Owner</t>
  </si>
  <si>
    <t xml:space="preserve">Depends on</t>
  </si>
  <si>
    <t xml:space="preserve">Days</t>
  </si>
  <si>
    <t xml:space="preserve">Status</t>
  </si>
  <si>
    <t xml:space="preserve">Start</t>
  </si>
  <si>
    <t xml:space="preserve">End</t>
  </si>
  <si>
    <t xml:space="preserve">PHASE 1 — SCAFFOLD &amp; AT-HEIGHT WORKS</t>
  </si>
  <si>
    <t xml:space="preserve">1.0</t>
  </si>
  <si>
    <t xml:space="preserve">Site setup &amp; garden segregation fencing (family access preserved)</t>
  </si>
  <si>
    <t xml:space="preserve">Luke +1</t>
  </si>
  <si>
    <t xml:space="preserve">—</t>
  </si>
  <si>
    <t xml:space="preserve">Complete</t>
  </si>
  <si>
    <t xml:space="preserve">1.1</t>
  </si>
  <si>
    <t xml:space="preserve">Scaffold A + B erection (incl. discrete decking demolition at footing points)</t>
  </si>
  <si>
    <t xml:space="preserve">Trevor</t>
  </si>
  <si>
    <t xml:space="preserve">1.2</t>
  </si>
  <si>
    <t xml:space="preserve">Chimney repair — cut render to substrate, realign, re-render. Cowl fitted 17 Aug. Sealant applied 18 Aug — COMPLETE.</t>
  </si>
  <si>
    <t xml:space="preserve">1.3</t>
  </si>
  <si>
    <t xml:space="preserve">Coping stones — cut back, lead flashing, replace stones, watertight. Sealant applied 18 Aug — COMPLETE.</t>
  </si>
  <si>
    <t xml:space="preserve">1.4</t>
  </si>
  <si>
    <t xml:space="preserve">Scaffold strike (A + B) — COMPLETE 18 Aug. Final £1,200 payment paid — full £3,200 now settled (£1,500 chimney + £1,700 coping).</t>
  </si>
  <si>
    <t xml:space="preserve">G1</t>
  </si>
  <si>
    <t xml:space="preserve">STAGE GATE 1 — At-height works sign-off: cowl fitted, chimney + coping complete</t>
  </si>
  <si>
    <t xml:space="preserve">Family</t>
  </si>
  <si>
    <t xml:space="preserve">1.2, 1.3</t>
  </si>
  <si>
    <t xml:space="preserve">CLEARED 18 Aug — chimney + coping both complete</t>
  </si>
  <si>
    <t xml:space="preserve">1.5</t>
  </si>
  <si>
    <t xml:space="preserve">Roofline works — own £2,140 estimate (4 Sep): replace gutters (both parapet sides + lower rear), extend fascia/soffit, replace broken slates (incl. front tile repairs), barge board trim. No front-of-house gutters. MERGED 4 Oct from old 1.5, 1.7 and 3.2. Started 29 Sep; main works done the week of 5 Oct; remaining works finished Fri 16 Oct, ahead of the whole-house soft wash (Mon 19 Oct). COMPLETE Fri 16 Oct, including the lead flashing. Gates board-laying via Gate 2.</t>
  </si>
  <si>
    <t xml:space="preserve">Complete — finished Fri 16 Oct (including the lead flashing)</t>
  </si>
  <si>
    <t xml:space="preserve">1.5a</t>
  </si>
  <si>
    <t xml:space="preserve">Additional lead flashing, back-of-house gutters — lead chased into the walls so the new gutters work properly. EXTRA SCOPE, est. about £200 (Luke, 2 Oct), drawn from contingency. COMPLETE Fri 16 Oct (lead flashing confirmed included). Awaiting Luke's invoice (est. £200). Part of Gate 2.</t>
  </si>
  <si>
    <t xml:space="preserve">TBC</t>
  </si>
  <si>
    <t xml:space="preserve">Complete — Fri 16 Oct (lead flashing confirmed included)</t>
  </si>
  <si>
    <t xml:space="preserve">1.6</t>
  </si>
  <si>
    <t xml:space="preserve">Whole-house soft wash by Gorgeous Cleaning Services — gutters, soffits, roof tiles, roof solar panels, render, windows etc. £1,200 cash, drawn from contingency. COMPLETE: started and finished Mon 19 Oct (very successful). Payment to confirm.</t>
  </si>
  <si>
    <t xml:space="preserve">Gorgeous Cleaning</t>
  </si>
  <si>
    <t xml:space="preserve">1.5, 1.5a</t>
  </si>
  <si>
    <t xml:space="preserve">Complete — started and finished Mon 19 Oct</t>
  </si>
  <si>
    <t xml:space="preserve">G2</t>
  </si>
  <si>
    <t xml:space="preserve">STAGE GATE 2 — Roofline works, additional lead work and whole-house soft wash completed, before decking boards are laid. All three complete (roofline and lead flashing Fri 16 Oct; soft wash Mon 19 Oct)</t>
  </si>
  <si>
    <t xml:space="preserve">1.5, 1.5a, 1.6</t>
  </si>
  <si>
    <t xml:space="preserve">Clear — all components complete by Mon 19 Oct</t>
  </si>
  <si>
    <t xml:space="preserve">PHASE 2 — GROUNDWORKS &amp; DECKING</t>
  </si>
  <si>
    <t xml:space="preserve">2.1</t>
  </si>
  <si>
    <t xml:space="preserve">Soakaway drainage, side (a) — CANCELLED 1 Sep 2026. Family + Luke decision: cost-benefit ratio not worth it. Investigation phase (completed 18 Aug) feeds directly into the pipe investigation (2.2) instead.</t>
  </si>
  <si>
    <t xml:space="preserve">Cancelled</t>
  </si>
  <si>
    <t xml:space="preserve">V1</t>
  </si>
  <si>
    <t xml:space="preserve">V4 Phase 1 — COMPLETE 12 Aug (notified 10 Aug): all items received, including joists (Plas-Pro Bearer/Joist — confirmed via two deliveries same day). Only 228 decking boards (Milboard Enhanced Grain) outstanding, rolled into Phase 2, as planned.</t>
  </si>
  <si>
    <t xml:space="preserve">Ryan</t>
  </si>
  <si>
    <t xml:space="preserve">V2</t>
  </si>
  <si>
    <t xml:space="preserve">V4 Phase 2 — 228 decking boards (Milboard Enhanced Grain), only outstanding item from Phase 1. To be ordered on request when needed. UPDATE 24 Sep: if roofline works (task 1.5, formerly 1.7) go ahead as planned next week, request delivery of these boards — currently held by V4.</t>
  </si>
  <si>
    <t xml:space="preserve">V4 Flooring</t>
  </si>
  <si>
    <t xml:space="preserve">On request</t>
  </si>
  <si>
    <t xml:space="preserve">Floating</t>
  </si>
  <si>
    <t xml:space="preserve">2.2</t>
  </si>
  <si>
    <t xml:space="preserve">Decking side (a) — strip out, new substructure (incl. weed-stop membrane below). PIPE INVESTIGATION RESOLVED: no leaking waste pipe, damp ground was condensation under old decking. Excavation continues to widen decking, straight-line. Digger + barrow loader on hire until 10 Sep (est. £530, mixed purpose with new shed area — see 2.6). Earth reused as buttress-wall infill on side (b). RE-PLAN 8 Sep: all decking substructure (this + 2.3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</si>
  <si>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In progress — Millboard signed off the substructure 22 Oct; Plas-Pro delivered 26 Oct for the extended deck; main-deck upper-level curves still to finish; end date TBC</t>
  </si>
  <si>
    <t xml:space="preserve">2.3</t>
  </si>
  <si>
    <t xml:space="preserve">Decking side (b) — strip out, new substructure (incl. weed-stop membrane below). Old boards + substructure removed 17-18 Aug. Both lower and upper layer substructure under way. Buttress walls infilled with earth excavated from side (a)'s dig (2.2). Travis Perkins order (F49820): ballast, sand, 72x solid dense blocks — two deliveries received, invoice still pending. RE-PLAN 8 Sep: all decking substructure (this + 2.2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</si>
  <si>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3.3</t>
  </si>
  <si>
    <t xml:space="preserve">2.4</t>
  </si>
  <si>
    <t xml:space="preserve">Outside tap/pipework check (utility room to Summer house, under decking substructure) — check all connections before decking boards are laid; ensure extra pipe insulation; query whether the elbow needs supporting. COMPLETE: pipe insulation Thu 22 Oct (Luke); weed-stop membrane laid Sat 24 Oct.</t>
  </si>
  <si>
    <t xml:space="preserve">2.2, 2.3</t>
  </si>
  <si>
    <t xml:space="preserve">Complete — pipe insulation Thu 22 Oct; weed-stop membrane laid Sat 24 Oct</t>
  </si>
  <si>
    <t xml:space="preserve">G3</t>
  </si>
  <si>
    <t xml:space="preserve">STAGE GATE 3 — Outside tap/pipework insulated, and weed-stop membrane installed, before decking boards go down CLEARED Sat 24 Oct: pipe insulation (22 Oct) and weed-stop membrane (24 Oct) both done.</t>
  </si>
  <si>
    <t xml:space="preserve">CLEARED Sat 24 Oct — insulation 22 Oct, weed-stop membrane 24 Oct</t>
  </si>
  <si>
    <t xml:space="preserve">G3B</t>
  </si>
  <si>
    <t xml:space="preserve">STAGE GATE 3B — Substructure sign-off by Millboard's technical area manager (Jon, V4 Flooring, also invited) before any boards are laid. Validates the warranty; photos for the project record and PR. CLEARED Thu 22 Oct: Millboard formally signed off the substructure (all passed, very happy with the installation) — secures the 25-year warranty on the boards.</t>
  </si>
  <si>
    <t xml:space="preserve">2.2, 2.3, 2.6, G3</t>
  </si>
  <si>
    <t xml:space="preserve">CLEARED Thu 22 Oct — Millboard signed off the substructure; warranty secured</t>
  </si>
  <si>
    <t xml:space="preserve">2.5</t>
  </si>
  <si>
    <t xml:space="preserve">Lay Millboard decking per design, all sides (gate a and gate b access as applicable) — INCLUDES the new decking area leading up to the shed, perpendicular to side (a). Combined into one task for simplicity. Gated on G2 (gutters/slate) and G3 (tap/pipework/weed membrane) AND substructure (2.2/2.3/2.6) completing. RE-PLAN 8 Sep: pushed back from 15 Sep — substructure now estimated to take 2 more weeks. UPDATE 3 Oct: cannot start Tue 6 Oct — render soft wash only starts Mon 5 Oct and the tap/pipework check (G3) has not started; dates TBC until Luke gives revised estimates. UPDATE 4 Oct: also gated by Gate 3B (substructure sign-off by Millboard / V4) — cannot start until G2, G3 and G3B have all cleared. UPDATE 26 Oct: G2, G3 and G3B all cleared. Board-laying STARTED Mon 26 Oct (exploratory, non-chimney side). Rest of the week pivots to the extended deck and shed base using the Plas-Pro delivered 26 Oct; Millboard boards in the extended area Thu/Fri 29-30 Oct (estimate). Main deck boards follow once the upper-level curves are complete. UPDATE 30 Oct: extended decking almost finished — completes Mon 2 Nov. Remaining 193 Ashwood boards (original invoice V4FQ-15584) plus screws/fixings arrive from V4 Wed 4 Nov for the main deck; main-deck laying end TBC.</t>
  </si>
  <si>
    <t xml:space="preserve">G2, G3, G3B</t>
  </si>
  <si>
    <t xml:space="preserve">In progress — extended deck completes Mon 2 Nov; 193 more Ashwood boards due Wed 4 Nov; main deck end TBC</t>
  </si>
  <si>
    <t xml:space="preserve">G4</t>
  </si>
  <si>
    <t xml:space="preserve">STAGE GATE 4 — Decking sign-off, all sides</t>
  </si>
  <si>
    <t xml:space="preserve">Not started — TBC (previously est. 4 Nov)</t>
  </si>
  <si>
    <t xml:space="preserve">2.6</t>
  </si>
  <si>
    <t xml:space="preserve">New shed area, perpendicular to side (a) — TRIMMED 8 Sep to excavation + substructure only, for BOTH the shed base and the new decking area leading up to it. Millboard board-laying for that decking area is now tracked at 2.5 (gated on G2/G3). Shed relocation onto its own base is NOT dependent on board-laying — only on its own substructure — so it can happen as soon as substructure completes (~22 Sep), independent of G2/G3/2.5. CORRECTED 11 Sep: the related boundary/fence work is 2.7 (side a, chimney side — now complete), NOT 3.3 (side b) as first logged 8 Sep.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 UPDATE 9 Oct: substructure work continued w/c 5 Oct; end date still TBC, bar shown to 9 Oct. UPDATE 13 Oct: Luke's team is working on the extended decking area; Luke was off site Mon 12 Oct. Bar shown to 13 Oct.</t>
  </si>
  <si>
    <t xml:space="preserve">V5</t>
  </si>
  <si>
    <t xml:space="preserve">V4 Phase 4 — materials order for the shed-area decking scope (side a), including the curved sections (see 2.2/purpose #4 labour). LIST SENT 24 Sep (Luke to Jon, V4): sub frame for 12m x 2.5m, decking for 8m x 2.5m, bull nose 8m, x5 flexible board for the curves, x5 extra joist, 99mm Duospan Flexible Brackets, Plas Pro to Duospan screws 25mm. QUOTE RECEIVED 28 Sep (#QUO-0031): £5,322.74 inc VAT — 35x Enhanced Grain boards, 44x Plas-Pro bearers, 5x Hexhead screws, 3x Bullnose board, 2x DuoSpan flexible bracket sets, 1x DuoSpan-to-Plas-Pro screws, 3x Flexible Bullnose Step Edge. Qty differs slightly from the original request (3 flexible bullnose vs 5 asked for; no distinct 'extra joist' line — likely = the 44 bearers). ACTIONED via phone with Jon 29 Sep — ordered and paid. Tracked in Budget Tracker as Contingency named purpose #24 (expanded scope, not the base decking quote). Delivery expected 30 Sep or 1 Oct.</t>
  </si>
  <si>
    <t xml:space="preserve">£5,322.74</t>
  </si>
  <si>
    <t xml:space="preserve">Paid</t>
  </si>
  <si>
    <t xml:space="preserve">Ordered &amp; paid 29 Sep — delivery expected 30 Sep/1 Oct</t>
  </si>
  <si>
    <t xml:space="preserve">2.7</t>
  </si>
  <si>
    <t xml:space="preserve">Fence move — chimney side (side a), boundary reclaimed from neighbour to enable the wider decking area, repositioned at new extended height. COMPLETE 11 Sep. NOT the same as 3.3 (side b, concrete spurs, still pending) or 3.5 (TPO/tree-dependent relocation). CORRECTED 11 Sep: this is the fence the 8 Sep boundary/scope-increase note was actually describing, not 3.3.</t>
  </si>
  <si>
    <t xml:space="preserve">G5</t>
  </si>
  <si>
    <t xml:space="preserve">PROJECT COMPLETION — snagging &amp; final sign-off</t>
  </si>
  <si>
    <t xml:space="preserve">All</t>
  </si>
  <si>
    <t xml:space="preserve">Not started — TBC (previously est. 11 Nov)</t>
  </si>
  <si>
    <t xml:space="preserve">PHASE 3 — FLOATING / RAINY-DAY POOL (pivot here when weather or hold-ups stall the spine)</t>
  </si>
  <si>
    <t xml:space="preserve">3.1</t>
  </si>
  <si>
    <t xml:space="preserve">Driveway channel — COMPLETE Wed 14 Oct (started and finished the same day; half a day, Luke and Max). Cobbles lifted, waste channel dug, water-softener discharge connected to natural drainage (confirmed working) and cobbles reinstated. £350, drawn from contingency (LG INV-0294, paid 17 Oct).</t>
  </si>
  <si>
    <t xml:space="preserve">0.5 (est. 4)</t>
  </si>
  <si>
    <t xml:space="preserve">Complete — Wed 14 Oct</t>
  </si>
  <si>
    <t xml:space="preserve">Fence spurring, side (b) — concrete spurs, should complete before decking board-laying (2.5) starts; not blocking substructure work (2.3), which is already under way (propped temporarily). CORRECTED 11 Sep: unrelated to the shed/boundary issue — that's 2.7 (side a, chimney side, now complete), a separate fence. The 'new extended height' detail logged 8 Sep belonged to 2.7, not here. 3.3 itself still not done; propped temporarily, deferred to wet weather for the actual fix — no height change involved.</t>
  </si>
  <si>
    <t xml:space="preserve">→ before 2.5</t>
  </si>
  <si>
    <t xml:space="preserve">Propped temporarily — repair/reposition targeted end of w/c 14 Sep, new extended height</t>
  </si>
  <si>
    <t xml:space="preserve">3.4</t>
  </si>
  <si>
    <t xml:space="preserve">Tree / bush clearing back to fence boundary — EXTERNAL company; scope &amp; cost outside this project</t>
  </si>
  <si>
    <t xml:space="preserve">External co.</t>
  </si>
  <si>
    <t xml:space="preserve">External</t>
  </si>
  <si>
    <t xml:space="preserve">3.5</t>
  </si>
  <si>
    <t xml:space="preserve">Fence relocation — route per TPO outcome (original line or divert around tree)</t>
  </si>
  <si>
    <t xml:space="preserve">3.4 + TPO</t>
  </si>
  <si>
    <t xml:space="preserve">3.6</t>
  </si>
  <si>
    <t xml:space="preserve">Skip 2 — triggered by Luke's request when decking work needs it (not on a fixed cycle; skip 1 arrived 11 Aug)</t>
  </si>
  <si>
    <t xml:space="preserve">Skip Hire Comparison Ltd</t>
  </si>
  <si>
    <t xml:space="preserve">T1</t>
  </si>
  <si>
    <t xml:space="preserve">TPO appeal decision — date TBC (branch point for 3.5)</t>
  </si>
  <si>
    <t xml:space="preserve">V3</t>
  </si>
  <si>
    <t xml:space="preserve">V4 Phase 3 — 15 more boxes of Timberfix structural subframe screws (FH90P050), requested by Luke 20 Aug. ORDERED &amp; PAID 24 Aug (V4FQ-17702, £141.66) — routed through Contingency (purpose #8), not this cost centre.</t>
  </si>
  <si>
    <t xml:space="preserve">£141.66 est.</t>
  </si>
  <si>
    <t xml:space="preserve">V4</t>
  </si>
  <si>
    <t xml:space="preserve">V4 screw top-up #2 — 15 more boxes of Timberfix structural subframe screws (FH90P050), separate order from V3/purpose #8. Invoice received and PAID 10 Sep (£141.66, matching purpose #8 rate) — routed through Contingency (purpose #9), not this cost centre. Delivery scheduled 11 Sep.</t>
  </si>
  <si>
    <t xml:space="preserve">Paid, delivery scheduled 11 Sep</t>
  </si>
  <si>
    <t xml:space="preserve">V6</t>
  </si>
  <si>
    <t xml:space="preserve">V4 delivery — materials to complete the decking substructure. ARRIVED Mon 19 Oct; QUO-0040 (£1,268) PAID by card Thu 22 Oct, drawn from contingency.</t>
  </si>
  <si>
    <t xml:space="preserve">Delivered Mon 19 Oct — paid 22 Oct</t>
  </si>
  <si>
    <t xml:space="preserve">V7</t>
  </si>
  <si>
    <t xml:space="preserve">Covers Merchants (Burgess Hill) — 22 x Millboard Plas-Pro joist/bearer 125x50x3000mm, order #36881270 (£696.70, Lara's card). ORDERED Sun 25 Oct, COLLECTED/DELIVERED Mon 26 Oct to complete the extended decking and shed base. Drawn from contingency.</t>
  </si>
  <si>
    <t xml:space="preserve">Delivered Mon 26 Oct — paid by card</t>
  </si>
  <si>
    <t xml:space="preserve">V8</t>
  </si>
  <si>
    <t xml:space="preserve">V4 delivery — 193 remaining Ashwood Millboard boards (original invoice V4FQ-15584) plus screws and fixings (5 x FH90P050, 4 x PO120B300, 5 x FT45P250, £365.66 inc £50 delivery, paid 30 Oct, invoice to follow). Expected Wed 4 Nov. Drawn from contingency (the boards are already paid).</t>
  </si>
  <si>
    <t xml:space="preserve">Expected Wed 4 Nov</t>
  </si>
  <si>
    <t xml:space="preserve">2.8</t>
  </si>
  <si>
    <t xml:space="preserve">Electrics first fix — Revolutional Electrical (Matt) ran cables under the decking to supply the new shed area, plus lighting for the new (extended) decking. COMPLETE Thu 22 Oct. Call-out charge to be invoiced; no figure yet. Drawn from contingency. Final fix follows the shed installation (2.11). Part of workstream 8, new shed &amp; electrics.</t>
  </si>
  <si>
    <t xml:space="preserve">Revolutional Electrical</t>
  </si>
  <si>
    <t xml:space="preserve">Complete — Thu 22 Oct (cables run; final fix at 2.11)</t>
  </si>
  <si>
    <t xml:space="preserve">2.9</t>
  </si>
  <si>
    <t xml:space="preserve">New shed — materials delivered; shed under construction (nearly built 30 Oct). Sits on the new shed base (substructure signed off 22 Oct). Drawn from contingency; cost TBC. Part of workstream 8, new shed &amp; electrics.</t>
  </si>
  <si>
    <t xml:space="preserve">Delivered — shed under construction</t>
  </si>
  <si>
    <t xml:space="preserve">2.10</t>
  </si>
  <si>
    <t xml:space="preserve">New shed construction — nearly built on Fri 30 Oct; due to finish Tue 3 Nov (excludes the electrics final fix). Before Revolutional Electrical return on Thu 12 Nov. Drawn from contingency. Part of workstream 8, new shed &amp; electrics.</t>
  </si>
  <si>
    <t xml:space="preserve">In progress — nearly built; finishes Tue 3 Nov</t>
  </si>
  <si>
    <t xml:space="preserve">2.11</t>
  </si>
  <si>
    <t xml:space="preserve">Electrics final fix and light fittings — Revolutional Electrical (Matt) return Thu 12 Nov, after the shed is installed. Drawn from contingency; cost TBC. Part of workstream 8, new shed &amp; electrics.</t>
  </si>
  <si>
    <t xml:space="preserve">Planned — Thu 12 Nov</t>
  </si>
  <si>
    <t xml:space="preserve">3.7</t>
  </si>
  <si>
    <t xml:space="preserve">Three new grates, side of the house — replacing the old ones (chimney stack area). EXTRA WORK, to be drawn from contingency; no estimate yet. Luke, at a later date.</t>
  </si>
  <si>
    <t xml:space="preserve">Scheduled for a later date — TBC</t>
  </si>
  <si>
    <t xml:space="preserve">Non-working: Luke holiday w/c 27 Jul &amp; w/c 24 Aug (grey columns); UK bank holiday Mon 31 Aug (w/c 31 Aug is a 4-day week).</t>
  </si>
  <si>
    <t xml:space="preserve">Rule: work proceeds only with Luke onsite. As of 10 Aug, works run in PARALLEL (chimney/coping/soakaway simultaneously) — the original one-phase-at-a-time model has been superseded by faster real-world pace. Rainy-day pool absorbs weather losses on render/roof work.</t>
  </si>
  <si>
    <t xml:space="preserve">Decking start (1 Sep) is set by Luke's 22–29 Aug holiday, not by sequential dependencies — at-height works, gutters, strike and soakaway all complete well ahead of that date.</t>
  </si>
  <si>
    <t xml:space="preserve">Board-laying (2.5) is set by G2 (roofline works, lead work, soft wash), G3 (tap/pipework/weed membrane) and G3B (substructure sign-off by Millboard) clearing, and by Luke's 22–29 Aug holiday — not by the old sequential model. Soakaway cancelled 1 Sep; excavation (2.2) and side (b) substructure (2.3) are running in parallel, well ahead of the original plan.</t>
  </si>
  <si>
    <t xml:space="preserve">V4 Phase 1 (substructure, fixings, 2 boards) notified and delivered 10–12 Aug, ahead of the old formula-driven milestone. V4 Phase 2 (remaining boards) is ordered on request when needed, mirroring Skip 2's trigger logic.</t>
  </si>
  <si>
    <t xml:space="preserve">Luke's outline (1 Jul): render, coping and roofing ~3 working weeks total — v1 durations are more conservative; await his corrections before compressing.</t>
  </si>
  <si>
    <t xml:space="preserve">Task Register — locations, access discipline &amp; pivot flags</t>
  </si>
  <si>
    <t xml:space="preserve">Access rule: side (a) works use gate (a) exclusively (top-left entrance, lower/green deck); side (b) works use gate (b) exclusively (bottom-right entrance). No material movement over newly laid Millboard. Orange = upper level to summer house (see Decking_plan.pdf).</t>
  </si>
  <si>
    <t xml:space="preserve">Workstream</t>
  </si>
  <si>
    <t xml:space="preserve">Location</t>
  </si>
  <si>
    <t xml:space="preserve">Access route</t>
  </si>
  <si>
    <t xml:space="preserve">Weather-sensitive</t>
  </si>
  <si>
    <t xml:space="preserve">Rainy-day eligible</t>
  </si>
  <si>
    <t xml:space="preserve">Est. days</t>
  </si>
  <si>
    <t xml:space="preserve">Notes / assumptions</t>
  </si>
  <si>
    <t xml:space="preserve">Site setup</t>
  </si>
  <si>
    <t xml:space="preserve">Garden segregation fencing &amp; site setup</t>
  </si>
  <si>
    <t xml:space="preserve">Garden (both sides)</t>
  </si>
  <si>
    <t xml:space="preserve">n/a</t>
  </si>
  <si>
    <t xml:space="preserve">N</t>
  </si>
  <si>
    <t xml:space="preserve">Keeps garden usable by family through Summer — working areas fenced, not a building site.</t>
  </si>
  <si>
    <t xml:space="preserve">Scaffolding</t>
  </si>
  <si>
    <t xml:space="preserve">Erect Scaffold A (chimney) + Scaffold B (coping/gutters); discrete decking demolition at footing points</t>
  </si>
  <si>
    <t xml:space="preserve">Roof perimeter, two locations</t>
  </si>
  <si>
    <t xml:space="preserve">Y</t>
  </si>
  <si>
    <t xml:space="preserve">Trevor's team. Fixed: Fri 17 – Sat 18 Jul. Both towers up together; remain until Gate 1 sign-off.</t>
  </si>
  <si>
    <t xml:space="preserve">Chimney</t>
  </si>
  <si>
    <t xml:space="preserve">Cut render back to substrate, fix alignment, re-render</t>
  </si>
  <si>
    <t xml:space="preserve">Chimney (Scaffold A)</t>
  </si>
  <si>
    <t xml:space="preserve">Scaffold A</t>
  </si>
  <si>
    <t xml:space="preserve">Render weather-sensitive: no rain, not too hot. Target: complete before 22 Aug — first in queue to protect this.</t>
  </si>
  <si>
    <t xml:space="preserve">Coping stones</t>
  </si>
  <si>
    <t xml:space="preserve">Cut back, lead flashing, replace coping stones, make watertight</t>
  </si>
  <si>
    <t xml:space="preserve">Separate elevation (Scaffold B)</t>
  </si>
  <si>
    <t xml:space="preserve">Scaffold B</t>
  </si>
  <si>
    <t xml:space="preserve">Independent scaffold structure from chimney.</t>
  </si>
  <si>
    <t xml:space="preserve">Strike Scaffold A + B</t>
  </si>
  <si>
    <t xml:space="preserve">Both locations</t>
  </si>
  <si>
    <t xml:space="preserve">Only after Gate 1 sign-off (Lara/Neels/Ryan).</t>
  </si>
  <si>
    <t xml:space="preserve">Roofline works</t>
  </si>
  <si>
    <t xml:space="preserve">Replace gutters (parapet both sides + lower rear elevation), extend fascia/soffit, replace various broken slates (incl. front tile repairs), white uPVC trim to barge boards</t>
  </si>
  <si>
    <t xml:space="preserve">Roofline, both sides + rear</t>
  </si>
  <si>
    <t xml:space="preserve">Ladder (Luke's own; no scaffold tower needed)</t>
  </si>
  <si>
    <t xml:space="preserve">MERGED 4 Oct from old 1.5 (back-gutter realign), 1.7 (this estimate) and 3.2 (front gutters/tile repairs). The estimate has no front-of-house gutters; front tile repairs are covered by 'replace various broken slates'. Own £2,140 estimate (4 Sep). Started 29 Sep, finishing Mon 5 Oct. Gates board-laying via Gate 2. UPDATE 9 Oct: roofline works concluded this week (w/c 5 Oct). UPDATE 13 Oct: reopened — remaining roofline works due Fri 16 Oct. UPDATE 17 Oct: COMPLETE Fri 16 Oct, including the lead flashing; ahead of the soft wash (Mon 19 Oct).</t>
  </si>
  <si>
    <t xml:space="preserve">Roofline works (extra)</t>
  </si>
  <si>
    <t xml:space="preserve">Additional lead flashing — chase lead into the walls so the new back-of-house gutters work properly</t>
  </si>
  <si>
    <t xml:space="preserve">Back of house, by the gutters</t>
  </si>
  <si>
    <t xml:space="preserve">Ladder</t>
  </si>
  <si>
    <t xml:space="preserve">EXTRA SCOPE found during the roofline works; Luke's estimate about £200 (2 Oct), drawn from contingency. Part of Gate 2 — must finish before decking boards are laid. UPDATE 13 Oct: due Fri 16 Oct. UPDATE 17 Oct: COMPLETE Fri 16 Oct; lead flashing confirmed included. Awaiting Luke's invoice.</t>
  </si>
  <si>
    <t xml:space="preserve">Render treatment</t>
  </si>
  <si>
    <t xml:space="preserve">Whole-house soft wash — Gorgeous Cleaning Services (gutters, soffits, roof tiles, solar panels, render, windows)</t>
  </si>
  <si>
    <t xml:space="preserve">Whole house</t>
  </si>
  <si>
    <t xml:space="preserve">Must complete before decking boards go down — chemical residue risk to new boards. Likely contingency-funded. Gates board-laying via Gate 2. UPDATE 9 Oct: status to confirm (was planned for Mon 5 Oct). UPDATE 13 Oct: REPLACED by a whole-house soft wash by Gorgeous Cleaning Services (£1,200 cash, contingency), starting Mon 19 Oct. UPDATE 17 Oct: Gorgeous Cleaning Services start Mon 19 Oct confirmed; all roofline works finished Fri 16 Oct. UPDATE 22 Oct: COMPLETE — started and finished Mon 19 Oct (very successful).</t>
  </si>
  <si>
    <t xml:space="preserve">Drainage (soakaway)</t>
  </si>
  <si>
    <t xml:space="preserve">Partial demolition of existing decking, new pipework off downpipes, reposition existing pipe</t>
  </si>
  <si>
    <t xml:space="preserve">Back garden, side (a)</t>
  </si>
  <si>
    <t xml:space="preserve">Gate (a)</t>
  </si>
  <si>
    <t xml:space="preserve">CANCELLED 1 Sep 2026 — family + Luke decision, cost-benefit ratio not worth it. Investigation phase (completed 18 Aug) is proceeding instead as part of the pipe investigation (3.7). No money was ever drawn against this from Contingency (named purpose #2) — clean cancellation, nothing to reverse.</t>
  </si>
  <si>
    <t xml:space="preserve">Decking (a)</t>
  </si>
  <si>
    <t xml:space="preserve">Remove existing decking &amp; substructure; install new substructure (board-laying now tracked separately at 2.5). Includes pipe investigation/excavation (folded in from former 3.7) — dual purpose: expose leaking waste pipe, widen decking area (straight lines).</t>
  </si>
  <si>
    <t xml:space="preserve">Soakaway side (a) — green lower + share of orange upper</t>
  </si>
  <si>
    <t xml:space="preserve">Gate (a) ONLY</t>
  </si>
  <si>
    <t xml:space="preserve">IN PROGRESS from 3 Sep. PIPE RESOLVED: no leak found — damp ground was condensation trapped under old decking, not a plumbing fault. No repair needed, no contingency draw required. Earth reused as buttress-wall infill on side (b). Entrance = top-left of green deck on plan.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 UPDATE 20 Oct: the V4 delivery arrived Mon 19 Oct. UPDATE 22 Oct: V4 delivery paid (£1,268, card). Millboard on site today for the formal substructure sign-off (Gate 3B); outcome pending. UPDATE 22 Oct (pm): Millboard formally signed off the substructure (Gate 3B cleared). Still to do: main decking upper-level curves; more materials awaited to finish the extended decking.</t>
  </si>
  <si>
    <t xml:space="preserve">Decking (b)</t>
  </si>
  <si>
    <t xml:space="preserve">Remove existing decking &amp; substructure; install new substructure (board-laying now tracked separately at 2.5)</t>
  </si>
  <si>
    <t xml:space="preserve">Driveway side (b)</t>
  </si>
  <si>
    <t xml:space="preserve">Gate (b) ONLY</t>
  </si>
  <si>
    <t xml:space="preserve">IN PROGRESS — both lower and upper substructure layers under way as of 3 Sep. Entrance = bottom-right of green deck on plan. No crossing over side (a) new boards.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 UPDATE 20 Oct: the V4 delivery arrived Mon 19 Oct. UPDATE 22 Oct: V4 delivery paid (£1,268, card). Millboard on site today for the formal substructure sign-off (Gate 3B); outcome pending. UPDATE 22 Oct (pm): Millboard formally signed off the substructure (Gate 3B cleared). Still to do: main decking upper-level curves; more materials awaited to finish the extended decking.</t>
  </si>
  <si>
    <t xml:space="preserve">Decking prep</t>
  </si>
  <si>
    <t xml:space="preserve">Outside tap/pipework check (utility room to Summer house, under substructure) — check connections, extra pipe insulation, elbow support</t>
  </si>
  <si>
    <t xml:space="preserve">Under decking substructure, both sides</t>
  </si>
  <si>
    <t xml:space="preserve">Gates board-laying (2.5) via Gate 3. UPDATE 20 Oct: pipe lagging ordered (Buy Insulation Online, £177.58, drawn from contingency); delivery date to follow. UPDATE 22 Oct: Luke insulating the water pipe under the main decking substructure today. UPDATE 22 Oct (pm): pipe insulation completed.</t>
  </si>
  <si>
    <t xml:space="preserve">Decking (a+b)</t>
  </si>
  <si>
    <t xml:space="preserve">Lay Millboard decking per design, all sides — combined into one task, including the new decking area leading up to the shed (perpendicular to side a)</t>
  </si>
  <si>
    <t xml:space="preserve">Gate (a) and gate (b) as applicable</t>
  </si>
  <si>
    <t xml:space="preserve">Gate a / Gate b</t>
  </si>
  <si>
    <t xml:space="preserve">Gated on G2 (gutters/slate) and G3 (tap/pipework/weed membrane) clearing, plus substructure (2.2/2.3/2.6) completing.</t>
  </si>
  <si>
    <t xml:space="preserve">Decking (bonus)</t>
  </si>
  <si>
    <t xml:space="preserve">New shed area, perpendicular to side (a) — excavation + substructure only (shed base and the new decking area's substructure). Board-laying tracked separately at 2.5.</t>
  </si>
  <si>
    <t xml:space="preserve">Side (a)</t>
  </si>
  <si>
    <t xml:space="preserve">CORRECTED 11 Sep: the related fence work is 2.7 (side a, chimney side, now complete), NOT 3.3 (side b) as first logged 8 Sep. Shed relocation onto its own base is NOT gated by board-laying — only by this task's own substructure completing (RE-PLAN 17 Sep: now ~29 Sep, was ~22 Sep).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 UPDATE 20 Oct: the V4 delivery arrived Mon 19 Oct. UPDATE 22 Oct: V4 delivery paid (£1,268, card). Millboard on site today for the formal substructure sign-off (Gate 3B); outcome pending. UPDATE 22 Oct (pm): Millboard formally signed off the substructure (Gate 3B cleared). Still to do: main decking upper-level curves; more materials awaited to finish the extended decking.</t>
  </si>
  <si>
    <t xml:space="preserve">Driveway channel</t>
  </si>
  <si>
    <t xml:space="preserve">Lift bricks/cobbles, dig waste channel, connect water-softener discharge to natural drainage, reinstate cobbles</t>
  </si>
  <si>
    <t xml:space="preserve">Front driveway</t>
  </si>
  <si>
    <t xml:space="preserve">Front</t>
  </si>
  <si>
    <t xml:space="preserve">COMPLETE Wed 14 Oct — started and finished in one day (half a day, Luke and Max). Water-softener discharge connected to natural drainage and confirmed working; cobbles reinstated. £350 from contingency (LG INV-0294, paid 17 Oct). Previously an active problem (softener free-flooding the driveway).</t>
  </si>
  <si>
    <t xml:space="preserve">Fencing</t>
  </si>
  <si>
    <t xml:space="preserve">Fence spurring, side (b) first</t>
  </si>
  <si>
    <t xml:space="preserve">Garden boundary</t>
  </si>
  <si>
    <t xml:space="preserve">Garden</t>
  </si>
  <si>
    <t xml:space="preserve">HARD CONSTRAINT (as designed): side (b) spurring should complete before decking board-laying (2.5) begins. STATUS 8 Sep: not yet done, propped temporarily, deferred to wet weather. CORRECTED 11 Sep: unrelated to the shed/boundary issue — that's 2.7, a separate fence. The 'extended height' note logged 8 Sep belonged there, not here.</t>
  </si>
  <si>
    <t xml:space="preserve">Tree / bush clearing back to fence boundary — EXTERNAL company</t>
  </si>
  <si>
    <t xml:space="preserve">Outside project scope and budget; details and costs handled separately. Prerequisite for fence relocation (3.5) only.</t>
  </si>
  <si>
    <t xml:space="preserve">Fence relocation — original line (TPO appeal succeeds) or divert around tree (fails)</t>
  </si>
  <si>
    <t xml:space="preserve">Gated on TPO decision (T1, date TBC). Both routes pre-planned.</t>
  </si>
  <si>
    <t xml:space="preserve">Fence move, chimney side</t>
  </si>
  <si>
    <t xml:space="preserve">Boundary reclaimed from neighbour, side a, to enable the wider decking area; repositioned at new extended height</t>
  </si>
  <si>
    <t xml:space="preserve">Chimney side / side a</t>
  </si>
  <si>
    <t xml:space="preserve">COMPLETE 11 Sep. This is the fence the 8 Sep boundary/scope-increase note referred to — not 3.3 (side b spurs) or 3.5 (TPO-dependent).</t>
  </si>
  <si>
    <t xml:space="preserve">Electrics</t>
  </si>
  <si>
    <t xml:space="preserve">Cables under decking to new shed area + extended-deck lighting</t>
  </si>
  <si>
    <t xml:space="preserve">Under decking / shed area</t>
  </si>
  <si>
    <t xml:space="preserve">Revolutional Electrical (Matt) ran cables under the decking to the new shed area and for the extended-deck lighting — first fix COMPLETE 22 Oct (call-out charge). Final fix follows the shed installation (2.11). From contingency; no estimate yet. Workstream 8.</t>
  </si>
  <si>
    <t xml:space="preserve">New shed</t>
  </si>
  <si>
    <t xml:space="preserve">Shed — materials delivered, under construction</t>
  </si>
  <si>
    <t xml:space="preserve">Shed area</t>
  </si>
  <si>
    <t xml:space="preserve">Next step: order the new shed. Delivery TBC. From contingency. Workstream 8.</t>
  </si>
  <si>
    <t xml:space="preserve">Grates</t>
  </si>
  <si>
    <t xml:space="preserve">Three new grates, side of the house, replacing old ones</t>
  </si>
  <si>
    <t xml:space="preserve">Side of house</t>
  </si>
  <si>
    <t xml:space="preserve">Side</t>
  </si>
  <si>
    <t xml:space="preserve">EXTRA WORK from contingency; scheduled for a later date.</t>
  </si>
  <si>
    <t xml:space="preserve">Construct the new shed on the new base (finishes Tue 3 Nov)</t>
  </si>
  <si>
    <t xml:space="preserve">Follows delivery (2.9). Luke's window is to finish the substructure and install the shed before Thu 12 Nov. From contingency. Workstream 8.</t>
  </si>
  <si>
    <t xml:space="preserve">Electrics final fix — shed supply and extended-deck lighting</t>
  </si>
  <si>
    <t xml:space="preserve">Shed area / extended deck</t>
  </si>
  <si>
    <t xml:space="preserve">Revolutional Electrical (Matt) return Thu 12 Nov for the final fix and light fittings, after the shed is installed (2.10). From contingency. Workstream 8.</t>
  </si>
  <si>
    <t xml:space="preserve">Reference — contacts, rules, assumptions, sign-off log</t>
  </si>
  <si>
    <t xml:space="preserve">CONTACTS  (fill in yellow cells — phone / email are placeholders)</t>
  </si>
  <si>
    <t xml:space="preserve">Name</t>
  </si>
  <si>
    <t xml:space="preserve">Role</t>
  </si>
  <si>
    <t xml:space="preserve">Team</t>
  </si>
  <si>
    <t xml:space="preserve">Phone</t>
  </si>
  <si>
    <t xml:space="preserve">Email</t>
  </si>
  <si>
    <t xml:space="preserve">EXAMPLE — Jane Doe</t>
  </si>
  <si>
    <t xml:space="preserve">Example row — format guide</t>
  </si>
  <si>
    <t xml:space="preserve">07700 900123</t>
  </si>
  <si>
    <t xml:space="preserve">jane.doe@example.com</t>
  </si>
  <si>
    <t xml:space="preserve">Lara</t>
  </si>
  <si>
    <t xml:space="preserve">Key Decision Maker &amp; Budget Holder</t>
  </si>
  <si>
    <t xml:space="preserve">07791 528837</t>
  </si>
  <si>
    <t xml:space="preserve">larakriek@gmail.com</t>
  </si>
  <si>
    <t xml:space="preserve">Neels</t>
  </si>
  <si>
    <t xml:space="preserve">Project management support</t>
  </si>
  <si>
    <t xml:space="preserve">07880 688027</t>
  </si>
  <si>
    <t xml:space="preserve">neels.kriek@gmail.com</t>
  </si>
  <si>
    <t xml:space="preserve">Project manager</t>
  </si>
  <si>
    <t xml:space="preserve">07851 601499</t>
  </si>
  <si>
    <t xml:space="preserve">ryanbishop23@gmail.com</t>
  </si>
  <si>
    <t xml:space="preserve">Luke</t>
  </si>
  <si>
    <t xml:space="preserve">Chief builder, head of company</t>
  </si>
  <si>
    <t xml:space="preserve">L.G Building and Roofing Ltd</t>
  </si>
  <si>
    <t xml:space="preserve">07799 748123</t>
  </si>
  <si>
    <t xml:space="preserve">Ross</t>
  </si>
  <si>
    <t xml:space="preserve">Right-hand man</t>
  </si>
  <si>
    <t xml:space="preserve">Max</t>
  </si>
  <si>
    <t xml:space="preserve">Roy</t>
  </si>
  <si>
    <t xml:space="preserve">Scaffold team contact</t>
  </si>
  <si>
    <t xml:space="preserve">Decking materials storage &amp; delivery</t>
  </si>
  <si>
    <t xml:space="preserve">01276 488099</t>
  </si>
  <si>
    <t xml:space="preserve">WORKING RULES</t>
  </si>
  <si>
    <t xml:space="preserve">• Work proceeds only if Luke is onsite.</t>
  </si>
  <si>
    <t xml:space="preserve">• SUPERSEDED 10 Aug: works now run in PARALLEL (chimney, coping, soakaway simultaneously) — the original one-phase-at-a-time model no longer reflects actual practice.</t>
  </si>
  <si>
    <t xml:space="preserve">• Crew planning basis: Luke +1 (conservative). Additional hands = schedule upside, never assumed.</t>
  </si>
  <si>
    <t xml:space="preserve">• Working days: Monday–Friday, excluding Luke's holidays and UK bank holidays.</t>
  </si>
  <si>
    <t xml:space="preserve">• Luke holidays: 25 Jul – 1 Aug and 22 – 29 Aug 2026. Bank holiday: Mon 31 Aug 2026.</t>
  </si>
  <si>
    <t xml:space="preserve">• Stage gates signed off by Lara, Ryan and Neels before the next stage begins.</t>
  </si>
  <si>
    <t xml:space="preserve">• Weather rule: if render/roof work is unfavourable (rain, or too hot to render), crew pivots to the rainy-day pool (Phase 3).</t>
  </si>
  <si>
    <t xml:space="preserve">• Access discipline: side (a) via gate (a) only; side (b) via gate (b) only. No materials over new Millboard.</t>
  </si>
  <si>
    <t xml:space="preserve">• V4 Flooring: notify 2 weeks (14 calendar days) before decking materials are required onsite.</t>
  </si>
  <si>
    <t xml:space="preserve">KEY ASSUMPTIONS (open — to be confirmed)</t>
  </si>
  <si>
    <t xml:space="preserve">• A1 RESOLVED (10 Aug): scaffold erection found wet ground at the chimney tower — not a soakaway pipe-run obstruction, but evidence suggesting a leaking house waste pipe beneath the chimney. See new finding below.</t>
  </si>
  <si>
    <t xml:space="preserve">• NEW (10 Aug): Wet ground beneath chimney scaffold suggests a leaking waste pipe from the house. Investigation can only happen once scaffold is struck AND old decking/substructure removed in that specific area — timing depends on which decking side (a/b) sits beneath the chimney (TBC with Ryan). Cost: contingency-funded, no figure yet — would be named purpose #7 (coping condensation-prep took #6, 13 Aug).</t>
  </si>
  <si>
    <t xml:space="preserve">• A2: All durations are planning estimates pending Luke's review of this v1.</t>
  </si>
  <si>
    <t xml:space="preserve">• A3: Decking (a)/(b) split ≈ 2.5 weeks each within the 5-week decking ceiling.</t>
  </si>
  <si>
    <t xml:space="preserve">• A4: V4 landing zone to be agreed with Luke without breaching gate segregation.</t>
  </si>
  <si>
    <t xml:space="preserve">• A5: TPO appeal decision date unknown — fence relocation (3.5) floats until known.</t>
  </si>
  <si>
    <t xml:space="preserve">STAGE GATE SIGN-OFF LOG</t>
  </si>
  <si>
    <t xml:space="preserve">Gate</t>
  </si>
  <si>
    <t xml:space="preserve">Description</t>
  </si>
  <si>
    <t xml:space="preserve">Date signed</t>
  </si>
  <si>
    <t xml:space="preserve">At-height works (chimney, coping) — scaffold may strike</t>
  </si>
  <si>
    <t xml:space="preserve">Roofline works (incl. slates), additional lead flashing and whole-house soft wash completed, before decking boards are laid — roofline works and lead flashing complete Fri 16 Oct; whole-house soft wash (from Mon 19 Oct) outstanding — all complete by Mon 19 Oct (gate clear)</t>
  </si>
  <si>
    <t xml:space="preserve">Outside tap/pipework insulated, and weed-stop membrane installed, before decking boards go down</t>
  </si>
  <si>
    <t xml:space="preserve">Substructure sign-off — Millboard technical area manager (and Jon, V4 Flooring) view and sign off the completed substructure before any boards are laid — Millboard site visit CLEARED Thu 22 Oct — Millboard formally signed off the substructure</t>
  </si>
  <si>
    <t xml:space="preserve">Decking sign-off, all sides</t>
  </si>
  <si>
    <t xml:space="preserve">Project completion — snagging &amp; final sign-off</t>
  </si>
  <si>
    <t xml:space="preserve">HOW TO UPDATE THIS WORKBOOK</t>
  </si>
  <si>
    <t xml:space="preserve">• Edit only blue-on-yellow cells: task Start/End dates (Gantt), Last updated, contact details, and the sign-off log.</t>
  </si>
  <si>
    <t xml:space="preserve">• Gantt bars redraw automatically from Start/End dates — never colour grid cells by hand.</t>
  </si>
  <si>
    <t xml:space="preserve">• V4 Phase 1 (V1) and Phase 2 (V2) are fixed/on-request entries, not formulas, since the 10 Aug replan — Phase 1 delivered 12 Aug; Phase 2 ordered on request when needed.</t>
  </si>
  <si>
    <t xml:space="preserve">• To activate a floating task: give it Start/End dates and change Status from 'Floating' to 'In progress'.</t>
  </si>
  <si>
    <t xml:space="preserve">• Status values: Not started / In progress / Complete / Blocked / Floating.</t>
  </si>
  <si>
    <t xml:space="preserve">• Back gutters &amp; front tile repairs (10 Aug): an earlier WhatsApp confirmed both as included in Luke's overall roof-work scope, no separate charge. SUPERSEDED 4 Oct: the roofline works estimate (4 Sep, £2,140) replaces the gutter work; it has no front-of-house gutters, and front tile repairs are covered by 'replace various broken slates'. Tasks 1.5, 1.7 and 3.2 are merged into 1.5 (numbers not reused).</t>
  </si>
  <si>
    <t xml:space="preserve">• EXCLUDED from Luke's scope (per same WhatsApp): work to the summer house ("out house") at the top deck — Luke made no assessment/notes on it. Distinct from the new decking build (separately quoted, proceeding). Do not assume any summer-house fabric work is covered.</t>
  </si>
  <si>
    <t xml:space="preserve">• Gate 3B (substructure sign-off): Ryan will invite Millboard's technical area manager and Jon (V4 Flooring) to view and sign off the completed substructure before any boards are laid — validates the warranty; photos for the project record and PR. Site visit planned Thu 22 Oct. CLEARED Thu 22 Oct.</t>
  </si>
</sst>
</file>

<file path=xl/styles.xml><?xml version="1.0" encoding="utf-8"?>
<styleSheet xmlns="http://schemas.openxmlformats.org/spreadsheetml/2006/main">
  <numFmts count="4">
    <numFmt numFmtId="164" formatCode="General"/>
    <numFmt numFmtId="165" formatCode="dd\ mmm\ yyyy"/>
    <numFmt numFmtId="166" formatCode="dd\ mmm"/>
    <numFmt numFmtId="167" formatCode="yyyy\-mm\-dd\ h:mm:ss"/>
  </numFmts>
  <fonts count="13">
    <font>
      <sz val="11"/>
      <color theme="1"/>
      <name val="Calibri"/>
      <family val="2"/>
      <charset val="1"/>
    </font>
    <font>
      <sz val="10"/>
      <name val="Arial"/>
      <family val="0"/>
    </font>
    <font>
      <sz val="10"/>
      <name val="Arial"/>
      <family val="0"/>
    </font>
    <font>
      <sz val="10"/>
      <name val="Arial"/>
      <family val="0"/>
    </font>
    <font>
      <b val="true"/>
      <sz val="16"/>
      <color rgb="FF0F766E"/>
      <name val="Georgia"/>
      <family val="1"/>
      <charset val="1"/>
    </font>
    <font>
      <b val="true"/>
      <sz val="11"/>
      <color rgb="FF1F2937"/>
      <name val="Calibri"/>
      <family val="2"/>
      <charset val="1"/>
    </font>
    <font>
      <sz val="11"/>
      <color rgb="FF0000FF"/>
      <name val="Calibri"/>
      <family val="2"/>
      <charset val="1"/>
    </font>
    <font>
      <i val="true"/>
      <sz val="10"/>
      <color rgb="FF6B7280"/>
      <name val="Calibri"/>
      <family val="2"/>
      <charset val="1"/>
    </font>
    <font>
      <b val="true"/>
      <sz val="10"/>
      <color rgb="FFFFFFFF"/>
      <name val="Calibri"/>
      <family val="2"/>
      <charset val="1"/>
    </font>
    <font>
      <b val="true"/>
      <sz val="11"/>
      <color rgb="FFFFFFFF"/>
      <name val="Calibri"/>
      <family val="2"/>
      <charset val="1"/>
    </font>
    <font>
      <sz val="11"/>
      <color rgb="FF1F2937"/>
      <name val="Calibri"/>
      <family val="2"/>
      <charset val="1"/>
    </font>
    <font>
      <sz val="11"/>
      <color rgb="FF1F2937"/>
      <name val="Calibri"/>
      <family val="0"/>
      <charset val="1"/>
    </font>
    <font>
      <u val="single"/>
      <sz val="11"/>
      <color theme="10"/>
      <name val="Calibri"/>
      <family val="2"/>
      <charset val="1"/>
    </font>
  </fonts>
  <fills count="8">
    <fill>
      <patternFill patternType="none"/>
    </fill>
    <fill>
      <patternFill patternType="gray125"/>
    </fill>
    <fill>
      <patternFill patternType="solid">
        <fgColor rgb="FFFFF9C4"/>
        <bgColor rgb="FFFFFF99"/>
      </patternFill>
    </fill>
    <fill>
      <patternFill patternType="solid">
        <fgColor rgb="FF0F766E"/>
        <bgColor rgb="FF0D9488"/>
      </patternFill>
    </fill>
    <fill>
      <patternFill patternType="solid">
        <fgColor rgb="FF0D9488"/>
        <bgColor rgb="FF339966"/>
      </patternFill>
    </fill>
    <fill>
      <patternFill patternType="solid">
        <fgColor rgb="FFD1D5DB"/>
        <bgColor rgb="FFC0C0C0"/>
      </patternFill>
    </fill>
    <fill>
      <patternFill patternType="solid">
        <fgColor rgb="FFF0FDFA"/>
        <bgColor rgb="FFF3F4F6"/>
      </patternFill>
    </fill>
    <fill>
      <patternFill patternType="solid">
        <fgColor rgb="FFF3F4F6"/>
        <bgColor rgb="FFF0FDFA"/>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6" fontId="6"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7" fontId="11" fillId="2"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6"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0"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59E0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9C4"/>
      <rgbColor rgb="FFF0FDFA"/>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59E0B"/>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larakriek@gmail.com" TargetMode="External"/><Relationship Id="rId2" Type="http://schemas.openxmlformats.org/officeDocument/2006/relationships/hyperlink" Target="mailto:neels.kriek@gmail.com" TargetMode="External"/><Relationship Id="rId3" Type="http://schemas.openxmlformats.org/officeDocument/2006/relationships/hyperlink" Target="mailto:ryanbishop2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45" activeCellId="0" sqref="E45"/>
    </sheetView>
  </sheetViews>
  <sheetFormatPr defaultColWidth="8.66796875" defaultRowHeight="15" zeroHeight="false" outlineLevelRow="0" outlineLevelCol="0"/>
  <cols>
    <col collapsed="false" customWidth="true" hidden="false" outlineLevel="0" max="1" min="1" style="1" width="11"/>
    <col collapsed="false" customWidth="true" hidden="false" outlineLevel="0" max="2" min="2" style="1" width="97"/>
    <col collapsed="false" customWidth="true" hidden="false" outlineLevel="0" max="3" min="3" style="1" width="12"/>
    <col collapsed="false" customWidth="true" hidden="false" outlineLevel="0" max="4" min="4" style="1" width="15"/>
    <col collapsed="false" customWidth="true" hidden="false" outlineLevel="0" max="5" min="5" style="1" width="6"/>
    <col collapsed="false" customWidth="true" hidden="false" outlineLevel="0" max="6" min="6" style="1" width="11"/>
    <col collapsed="false" customWidth="true" hidden="false" outlineLevel="0" max="8" min="7" style="1" width="10"/>
    <col collapsed="false" customWidth="true" hidden="false" outlineLevel="0" max="29" min="9" style="1" width="7.5"/>
  </cols>
  <sheetData>
    <row r="1" customFormat="false" ht="21" hidden="false" customHeight="true" outlineLevel="0" collapsed="false">
      <c r="A1" s="2" t="s">
        <v>0</v>
      </c>
    </row>
    <row r="2" customFormat="false" ht="15" hidden="false" customHeight="true" outlineLevel="0" collapsed="false">
      <c r="A2" s="3" t="s">
        <v>1</v>
      </c>
      <c r="B2" s="4" t="n">
        <v>46325</v>
      </c>
      <c r="C2" s="5" t="s">
        <v>2</v>
      </c>
    </row>
    <row r="3" customFormat="false" ht="15" hidden="false" customHeight="true" outlineLevel="0" collapsed="false">
      <c r="A3" s="5" t="s">
        <v>3</v>
      </c>
    </row>
    <row r="5" customFormat="false" ht="15.75" hidden="false" customHeight="true" outlineLevel="0" collapsed="false">
      <c r="A5" s="6" t="s">
        <v>4</v>
      </c>
      <c r="B5" s="6" t="s">
        <v>5</v>
      </c>
      <c r="C5" s="6" t="s">
        <v>6</v>
      </c>
      <c r="D5" s="6" t="s">
        <v>7</v>
      </c>
      <c r="E5" s="6" t="s">
        <v>8</v>
      </c>
      <c r="F5" s="6" t="s">
        <v>9</v>
      </c>
      <c r="G5" s="6" t="s">
        <v>10</v>
      </c>
      <c r="H5" s="6" t="s">
        <v>11</v>
      </c>
      <c r="I5" s="7" t="n">
        <v>46216</v>
      </c>
      <c r="J5" s="7" t="n">
        <v>46223</v>
      </c>
      <c r="K5" s="7" t="n">
        <v>46230</v>
      </c>
      <c r="L5" s="7" t="n">
        <v>46237</v>
      </c>
      <c r="M5" s="7" t="n">
        <v>46244</v>
      </c>
      <c r="N5" s="7" t="n">
        <v>46251</v>
      </c>
      <c r="O5" s="7" t="n">
        <v>46258</v>
      </c>
      <c r="P5" s="7" t="n">
        <v>46265</v>
      </c>
      <c r="Q5" s="7" t="n">
        <v>46272</v>
      </c>
      <c r="R5" s="7" t="n">
        <v>46279</v>
      </c>
      <c r="S5" s="7" t="n">
        <v>46286</v>
      </c>
      <c r="T5" s="7" t="n">
        <v>46293</v>
      </c>
      <c r="U5" s="7" t="n">
        <v>46300</v>
      </c>
      <c r="V5" s="7" t="n">
        <v>46307</v>
      </c>
      <c r="W5" s="7" t="n">
        <v>46314</v>
      </c>
      <c r="X5" s="7" t="n">
        <v>46321</v>
      </c>
      <c r="Y5" s="7" t="n">
        <v>46328</v>
      </c>
      <c r="Z5" s="7" t="n">
        <v>46335</v>
      </c>
      <c r="AA5" s="7" t="n">
        <v>46342</v>
      </c>
      <c r="AB5" s="7" t="n">
        <v>46349</v>
      </c>
      <c r="AC5" s="7" t="n">
        <v>46356</v>
      </c>
    </row>
    <row r="6" customFormat="false" ht="15.75" hidden="false" customHeight="true" outlineLevel="0" collapsed="false">
      <c r="A6" s="8" t="s">
        <v>12</v>
      </c>
      <c r="B6" s="9"/>
      <c r="C6" s="9"/>
      <c r="D6" s="9"/>
      <c r="E6" s="9"/>
      <c r="F6" s="9"/>
      <c r="G6" s="9"/>
      <c r="H6" s="9"/>
      <c r="I6" s="9"/>
      <c r="J6" s="9"/>
      <c r="K6" s="10"/>
      <c r="L6" s="9"/>
      <c r="M6" s="9"/>
      <c r="N6" s="9"/>
      <c r="O6" s="10"/>
      <c r="P6" s="9"/>
      <c r="Q6" s="9"/>
      <c r="R6" s="9"/>
      <c r="S6" s="9"/>
      <c r="T6" s="9"/>
      <c r="U6" s="9"/>
      <c r="V6" s="9"/>
      <c r="W6" s="9"/>
      <c r="X6" s="9"/>
      <c r="Y6" s="9"/>
      <c r="Z6" s="9"/>
      <c r="AA6" s="9"/>
      <c r="AB6" s="9"/>
      <c r="AC6" s="9"/>
    </row>
    <row r="7" customFormat="false" ht="15.75" hidden="false" customHeight="true" outlineLevel="0" collapsed="false">
      <c r="A7" s="11" t="s">
        <v>13</v>
      </c>
      <c r="B7" s="12" t="s">
        <v>14</v>
      </c>
      <c r="C7" s="11" t="s">
        <v>15</v>
      </c>
      <c r="D7" s="11" t="s">
        <v>16</v>
      </c>
      <c r="E7" s="11" t="n">
        <v>2</v>
      </c>
      <c r="F7" s="11" t="s">
        <v>17</v>
      </c>
      <c r="G7" s="13" t="n">
        <v>46216</v>
      </c>
      <c r="H7" s="13" t="n">
        <v>46217</v>
      </c>
      <c r="I7" s="14"/>
      <c r="J7" s="14"/>
      <c r="K7" s="15"/>
      <c r="L7" s="14"/>
      <c r="M7" s="14"/>
      <c r="N7" s="14"/>
      <c r="O7" s="15"/>
      <c r="P7" s="14"/>
      <c r="Q7" s="14"/>
      <c r="R7" s="14"/>
      <c r="S7" s="14"/>
      <c r="T7" s="14"/>
      <c r="U7" s="14"/>
      <c r="V7" s="14"/>
      <c r="W7" s="14"/>
      <c r="X7" s="14"/>
      <c r="Y7" s="14"/>
      <c r="Z7" s="14"/>
      <c r="AA7" s="14"/>
      <c r="AB7" s="14"/>
      <c r="AC7" s="14"/>
    </row>
    <row r="8" customFormat="false" ht="15.75" hidden="false" customHeight="true" outlineLevel="0" collapsed="false">
      <c r="A8" s="11" t="s">
        <v>18</v>
      </c>
      <c r="B8" s="12" t="s">
        <v>19</v>
      </c>
      <c r="C8" s="11" t="s">
        <v>20</v>
      </c>
      <c r="D8" s="11" t="s">
        <v>13</v>
      </c>
      <c r="E8" s="11" t="n">
        <v>2</v>
      </c>
      <c r="F8" s="11" t="s">
        <v>17</v>
      </c>
      <c r="G8" s="13" t="n">
        <v>46220</v>
      </c>
      <c r="H8" s="13" t="n">
        <v>46221</v>
      </c>
      <c r="I8" s="14"/>
      <c r="J8" s="14"/>
      <c r="K8" s="15"/>
      <c r="L8" s="14"/>
      <c r="M8" s="14"/>
      <c r="N8" s="14"/>
      <c r="O8" s="15"/>
      <c r="P8" s="14"/>
      <c r="Q8" s="14"/>
      <c r="R8" s="14"/>
      <c r="S8" s="14"/>
      <c r="T8" s="14"/>
      <c r="U8" s="14"/>
      <c r="V8" s="14"/>
      <c r="W8" s="14"/>
      <c r="X8" s="14"/>
      <c r="Y8" s="14"/>
      <c r="Z8" s="14"/>
      <c r="AA8" s="14"/>
      <c r="AB8" s="14"/>
      <c r="AC8" s="14"/>
    </row>
    <row r="9" customFormat="false" ht="15.75" hidden="false" customHeight="true" outlineLevel="0" collapsed="false">
      <c r="A9" s="11" t="s">
        <v>21</v>
      </c>
      <c r="B9" s="12" t="s">
        <v>22</v>
      </c>
      <c r="C9" s="11" t="s">
        <v>15</v>
      </c>
      <c r="D9" s="11" t="s">
        <v>18</v>
      </c>
      <c r="E9" s="11" t="n">
        <v>7</v>
      </c>
      <c r="F9" s="11" t="s">
        <v>17</v>
      </c>
      <c r="G9" s="13" t="n">
        <v>46223</v>
      </c>
      <c r="H9" s="13" t="n">
        <v>46252</v>
      </c>
      <c r="I9" s="14"/>
      <c r="J9" s="14"/>
      <c r="K9" s="15"/>
      <c r="L9" s="14"/>
      <c r="M9" s="14"/>
      <c r="N9" s="14"/>
      <c r="O9" s="15"/>
      <c r="P9" s="14"/>
      <c r="Q9" s="14"/>
      <c r="R9" s="14"/>
      <c r="S9" s="14"/>
      <c r="T9" s="14"/>
      <c r="U9" s="14"/>
      <c r="V9" s="14"/>
      <c r="W9" s="14"/>
      <c r="X9" s="14"/>
      <c r="Y9" s="14"/>
      <c r="Z9" s="14"/>
      <c r="AA9" s="14"/>
      <c r="AB9" s="14"/>
      <c r="AC9" s="14"/>
    </row>
    <row r="10" customFormat="false" ht="15.75" hidden="false" customHeight="true" outlineLevel="0" collapsed="false">
      <c r="A10" s="11" t="s">
        <v>23</v>
      </c>
      <c r="B10" s="12" t="s">
        <v>24</v>
      </c>
      <c r="C10" s="11" t="s">
        <v>15</v>
      </c>
      <c r="D10" s="11" t="s">
        <v>21</v>
      </c>
      <c r="E10" s="11" t="n">
        <v>10</v>
      </c>
      <c r="F10" s="11" t="s">
        <v>17</v>
      </c>
      <c r="G10" s="13" t="n">
        <v>46237</v>
      </c>
      <c r="H10" s="13" t="n">
        <v>46252</v>
      </c>
      <c r="I10" s="14"/>
      <c r="J10" s="14"/>
      <c r="K10" s="15"/>
      <c r="L10" s="14"/>
      <c r="M10" s="14"/>
      <c r="N10" s="14"/>
      <c r="O10" s="15"/>
      <c r="P10" s="14"/>
      <c r="Q10" s="14"/>
      <c r="R10" s="14"/>
      <c r="S10" s="14"/>
      <c r="T10" s="14"/>
      <c r="U10" s="14"/>
      <c r="V10" s="14"/>
      <c r="W10" s="14"/>
      <c r="X10" s="14"/>
      <c r="Y10" s="14"/>
      <c r="Z10" s="14"/>
      <c r="AA10" s="14"/>
      <c r="AB10" s="14"/>
      <c r="AC10" s="14"/>
    </row>
    <row r="11" customFormat="false" ht="15.75" hidden="false" customHeight="true" outlineLevel="0" collapsed="false">
      <c r="A11" s="16" t="s">
        <v>25</v>
      </c>
      <c r="B11" s="17" t="s">
        <v>26</v>
      </c>
      <c r="C11" s="16" t="s">
        <v>20</v>
      </c>
      <c r="D11" s="16" t="s">
        <v>27</v>
      </c>
      <c r="E11" s="16" t="n">
        <v>3</v>
      </c>
      <c r="F11" s="16" t="s">
        <v>17</v>
      </c>
      <c r="G11" s="18" t="n">
        <v>46252</v>
      </c>
      <c r="H11" s="18" t="n">
        <v>46252</v>
      </c>
      <c r="I11" s="14"/>
      <c r="J11" s="14"/>
      <c r="K11" s="15"/>
      <c r="L11" s="14"/>
      <c r="M11" s="14"/>
      <c r="N11" s="14"/>
      <c r="O11" s="15"/>
      <c r="P11" s="14"/>
      <c r="Q11" s="14"/>
      <c r="R11" s="14"/>
      <c r="S11" s="14"/>
      <c r="T11" s="14"/>
      <c r="U11" s="14"/>
      <c r="V11" s="14"/>
      <c r="W11" s="14"/>
      <c r="X11" s="14"/>
      <c r="Y11" s="14"/>
      <c r="Z11" s="14"/>
      <c r="AA11" s="14"/>
      <c r="AB11" s="14"/>
      <c r="AC11" s="14"/>
    </row>
    <row r="12" customFormat="false" ht="15.75" hidden="false" customHeight="true" outlineLevel="0" collapsed="false">
      <c r="A12" s="16" t="s">
        <v>27</v>
      </c>
      <c r="B12" s="17" t="s">
        <v>28</v>
      </c>
      <c r="C12" s="16" t="s">
        <v>29</v>
      </c>
      <c r="D12" s="16" t="s">
        <v>30</v>
      </c>
      <c r="E12" s="16"/>
      <c r="F12" s="16" t="s">
        <v>31</v>
      </c>
      <c r="G12" s="18" t="n">
        <v>46251</v>
      </c>
      <c r="H12" s="18" t="n">
        <v>46251</v>
      </c>
      <c r="I12" s="14"/>
      <c r="J12" s="14"/>
      <c r="K12" s="15"/>
      <c r="L12" s="14"/>
      <c r="M12" s="14"/>
      <c r="N12" s="14"/>
      <c r="O12" s="15"/>
      <c r="P12" s="14"/>
      <c r="Q12" s="14"/>
      <c r="R12" s="14"/>
      <c r="S12" s="14"/>
      <c r="T12" s="14"/>
      <c r="U12" s="14"/>
      <c r="V12" s="14"/>
      <c r="W12" s="14"/>
      <c r="X12" s="14"/>
      <c r="Y12" s="14"/>
      <c r="Z12" s="14"/>
      <c r="AA12" s="14"/>
      <c r="AB12" s="14"/>
      <c r="AC12" s="14"/>
    </row>
    <row r="13" customFormat="false" ht="54" hidden="false" customHeight="true" outlineLevel="0" collapsed="false">
      <c r="A13" s="16" t="s">
        <v>32</v>
      </c>
      <c r="B13" s="19" t="s">
        <v>33</v>
      </c>
      <c r="C13" s="16" t="s">
        <v>15</v>
      </c>
      <c r="D13" s="16" t="s">
        <v>25</v>
      </c>
      <c r="E13" s="16" t="n">
        <v>5</v>
      </c>
      <c r="F13" s="20" t="s">
        <v>34</v>
      </c>
      <c r="G13" s="18" t="n">
        <v>46294</v>
      </c>
      <c r="H13" s="18" t="n">
        <v>46311</v>
      </c>
      <c r="I13" s="14"/>
      <c r="J13" s="14"/>
      <c r="K13" s="15"/>
      <c r="L13" s="14"/>
      <c r="M13" s="14"/>
      <c r="N13" s="14"/>
      <c r="O13" s="15"/>
      <c r="P13" s="14"/>
      <c r="Q13" s="14"/>
      <c r="R13" s="14"/>
      <c r="S13" s="14"/>
      <c r="T13" s="14"/>
      <c r="U13" s="14"/>
      <c r="V13" s="14"/>
      <c r="W13" s="14"/>
      <c r="X13" s="14"/>
      <c r="Y13" s="14"/>
      <c r="Z13" s="14"/>
      <c r="AA13" s="14"/>
      <c r="AB13" s="14"/>
      <c r="AC13" s="14"/>
    </row>
    <row r="14" customFormat="false" ht="42" hidden="false" customHeight="true" outlineLevel="0" collapsed="false">
      <c r="A14" s="16" t="s">
        <v>35</v>
      </c>
      <c r="B14" s="19" t="s">
        <v>36</v>
      </c>
      <c r="C14" s="16" t="s">
        <v>15</v>
      </c>
      <c r="D14" s="16" t="s">
        <v>32</v>
      </c>
      <c r="E14" s="16" t="s">
        <v>37</v>
      </c>
      <c r="F14" s="20" t="s">
        <v>38</v>
      </c>
      <c r="G14" s="21" t="n">
        <v>46311</v>
      </c>
      <c r="H14" s="21" t="n">
        <v>46311</v>
      </c>
    </row>
    <row r="15" customFormat="false" ht="15.75" hidden="false" customHeight="true" outlineLevel="0" collapsed="false">
      <c r="A15" s="16" t="s">
        <v>39</v>
      </c>
      <c r="B15" s="17" t="s">
        <v>40</v>
      </c>
      <c r="C15" s="16" t="s">
        <v>41</v>
      </c>
      <c r="D15" s="16" t="s">
        <v>42</v>
      </c>
      <c r="E15" s="16" t="s">
        <v>37</v>
      </c>
      <c r="F15" s="16" t="s">
        <v>43</v>
      </c>
      <c r="G15" s="22" t="n">
        <v>46314</v>
      </c>
      <c r="H15" s="22" t="n">
        <v>46314</v>
      </c>
    </row>
    <row r="16" customFormat="false" ht="30" hidden="false" customHeight="true" outlineLevel="0" collapsed="false">
      <c r="A16" s="16" t="s">
        <v>44</v>
      </c>
      <c r="B16" s="19" t="s">
        <v>45</v>
      </c>
      <c r="C16" s="16" t="s">
        <v>29</v>
      </c>
      <c r="D16" s="16" t="s">
        <v>46</v>
      </c>
      <c r="E16" s="16"/>
      <c r="F16" s="20" t="s">
        <v>47</v>
      </c>
      <c r="G16" s="23" t="n">
        <v>46314</v>
      </c>
      <c r="H16" s="23" t="n">
        <v>46314</v>
      </c>
      <c r="I16" s="14"/>
      <c r="J16" s="14"/>
      <c r="K16" s="15"/>
      <c r="L16" s="14"/>
      <c r="M16" s="14"/>
      <c r="N16" s="14"/>
      <c r="O16" s="15"/>
      <c r="P16" s="14"/>
      <c r="Q16" s="14"/>
      <c r="R16" s="14"/>
      <c r="S16" s="14"/>
      <c r="T16" s="14"/>
      <c r="U16" s="14"/>
      <c r="V16" s="14"/>
      <c r="W16" s="14"/>
      <c r="X16" s="14"/>
      <c r="Y16" s="14"/>
      <c r="Z16" s="14"/>
      <c r="AA16" s="14"/>
      <c r="AB16" s="14"/>
      <c r="AC16" s="14"/>
    </row>
    <row r="17" customFormat="false" ht="15.75" hidden="false" customHeight="true" outlineLevel="0" collapsed="false">
      <c r="A17" s="24" t="s">
        <v>48</v>
      </c>
      <c r="B17" s="25"/>
      <c r="C17" s="26"/>
      <c r="D17" s="26"/>
      <c r="E17" s="26"/>
      <c r="F17" s="26"/>
      <c r="G17" s="27"/>
      <c r="H17" s="27"/>
      <c r="I17" s="28"/>
      <c r="J17" s="28"/>
      <c r="K17" s="15"/>
      <c r="L17" s="28"/>
      <c r="M17" s="28"/>
      <c r="N17" s="28"/>
      <c r="O17" s="15"/>
      <c r="P17" s="28"/>
      <c r="Q17" s="28"/>
      <c r="R17" s="28"/>
      <c r="S17" s="28"/>
      <c r="T17" s="28"/>
      <c r="U17" s="28"/>
      <c r="V17" s="28"/>
      <c r="W17" s="28"/>
      <c r="X17" s="28"/>
      <c r="Y17" s="28"/>
      <c r="Z17" s="28"/>
      <c r="AA17" s="28"/>
      <c r="AB17" s="28"/>
      <c r="AC17" s="28"/>
    </row>
    <row r="18" customFormat="false" ht="15.75" hidden="false" customHeight="true" outlineLevel="0" collapsed="false">
      <c r="A18" s="16" t="s">
        <v>49</v>
      </c>
      <c r="B18" s="17" t="s">
        <v>50</v>
      </c>
      <c r="C18" s="16" t="s">
        <v>15</v>
      </c>
      <c r="D18" s="16" t="s">
        <v>16</v>
      </c>
      <c r="E18" s="16" t="n">
        <v>5</v>
      </c>
      <c r="F18" s="16" t="s">
        <v>51</v>
      </c>
      <c r="G18" s="29" t="n">
        <v>46244</v>
      </c>
      <c r="H18" s="29"/>
      <c r="I18" s="14"/>
      <c r="J18" s="14"/>
      <c r="K18" s="15"/>
      <c r="L18" s="14"/>
      <c r="M18" s="14"/>
      <c r="N18" s="14"/>
      <c r="O18" s="15"/>
      <c r="P18" s="14"/>
      <c r="Q18" s="14"/>
      <c r="R18" s="14"/>
      <c r="S18" s="14"/>
      <c r="T18" s="14"/>
      <c r="U18" s="14"/>
      <c r="V18" s="14"/>
      <c r="W18" s="14"/>
      <c r="X18" s="14"/>
      <c r="Y18" s="14"/>
      <c r="Z18" s="14"/>
      <c r="AA18" s="14"/>
      <c r="AB18" s="14"/>
      <c r="AC18" s="14"/>
    </row>
    <row r="19" customFormat="false" ht="15.75" hidden="false" customHeight="true" outlineLevel="0" collapsed="false">
      <c r="A19" s="16" t="s">
        <v>52</v>
      </c>
      <c r="B19" s="17" t="s">
        <v>53</v>
      </c>
      <c r="C19" s="16" t="s">
        <v>54</v>
      </c>
      <c r="D19" s="16" t="s">
        <v>16</v>
      </c>
      <c r="E19" s="16" t="s">
        <v>16</v>
      </c>
      <c r="F19" s="16" t="s">
        <v>17</v>
      </c>
      <c r="G19" s="29" t="n">
        <v>46244</v>
      </c>
      <c r="H19" s="29" t="n">
        <v>46246</v>
      </c>
      <c r="I19" s="14"/>
      <c r="J19" s="14"/>
      <c r="K19" s="15"/>
      <c r="L19" s="14"/>
      <c r="M19" s="14"/>
      <c r="N19" s="14"/>
      <c r="O19" s="15"/>
      <c r="P19" s="14"/>
      <c r="Q19" s="14"/>
      <c r="R19" s="14"/>
      <c r="S19" s="14"/>
      <c r="T19" s="14"/>
      <c r="U19" s="14"/>
      <c r="V19" s="14"/>
      <c r="W19" s="14"/>
      <c r="X19" s="14"/>
      <c r="Y19" s="14"/>
      <c r="Z19" s="14"/>
      <c r="AA19" s="14"/>
      <c r="AB19" s="14"/>
      <c r="AC19" s="14"/>
    </row>
    <row r="20" customFormat="false" ht="15.75" hidden="false" customHeight="true" outlineLevel="0" collapsed="false">
      <c r="A20" s="16" t="s">
        <v>55</v>
      </c>
      <c r="B20" s="17" t="s">
        <v>56</v>
      </c>
      <c r="C20" s="16" t="s">
        <v>57</v>
      </c>
      <c r="D20" s="16" t="s">
        <v>58</v>
      </c>
      <c r="E20" s="16" t="s">
        <v>16</v>
      </c>
      <c r="F20" s="16" t="s">
        <v>59</v>
      </c>
      <c r="G20" s="18" t="n">
        <v>46266</v>
      </c>
      <c r="H20" s="18" t="n">
        <v>46282</v>
      </c>
      <c r="I20" s="14"/>
      <c r="J20" s="14"/>
      <c r="K20" s="15"/>
      <c r="L20" s="14"/>
      <c r="M20" s="14"/>
      <c r="N20" s="14"/>
      <c r="O20" s="15"/>
      <c r="P20" s="14"/>
      <c r="Q20" s="14"/>
      <c r="R20" s="14"/>
      <c r="S20" s="14"/>
      <c r="T20" s="14"/>
      <c r="U20" s="14"/>
      <c r="V20" s="14"/>
      <c r="W20" s="14"/>
      <c r="X20" s="14"/>
      <c r="Y20" s="14"/>
      <c r="Z20" s="14"/>
      <c r="AA20" s="14"/>
      <c r="AB20" s="14"/>
      <c r="AC20" s="14"/>
    </row>
    <row r="21" customFormat="false" ht="15.75" hidden="false" customHeight="true" outlineLevel="0" collapsed="false">
      <c r="A21" s="16" t="s">
        <v>60</v>
      </c>
      <c r="B21" s="17" t="s">
        <v>61</v>
      </c>
      <c r="C21" s="16" t="s">
        <v>15</v>
      </c>
      <c r="D21" s="16" t="s">
        <v>16</v>
      </c>
      <c r="E21" s="16" t="s">
        <v>37</v>
      </c>
      <c r="F21" s="16" t="s">
        <v>62</v>
      </c>
      <c r="G21" s="18" t="n">
        <v>46268</v>
      </c>
      <c r="H21" s="18" t="n">
        <v>46325</v>
      </c>
      <c r="I21" s="14"/>
      <c r="J21" s="14"/>
      <c r="K21" s="15"/>
      <c r="L21" s="14"/>
      <c r="M21" s="14"/>
      <c r="N21" s="14"/>
      <c r="O21" s="15"/>
      <c r="P21" s="14"/>
      <c r="Q21" s="14"/>
      <c r="R21" s="14"/>
      <c r="S21" s="14"/>
      <c r="T21" s="14"/>
      <c r="U21" s="14"/>
      <c r="V21" s="14"/>
      <c r="W21" s="14"/>
      <c r="X21" s="14"/>
      <c r="Y21" s="14"/>
      <c r="Z21" s="14"/>
      <c r="AA21" s="14"/>
      <c r="AB21" s="14"/>
      <c r="AC21" s="14"/>
    </row>
    <row r="22" customFormat="false" ht="15.75" hidden="false" customHeight="true" outlineLevel="0" collapsed="false">
      <c r="A22" s="16" t="s">
        <v>63</v>
      </c>
      <c r="B22" s="17" t="s">
        <v>64</v>
      </c>
      <c r="C22" s="16" t="s">
        <v>15</v>
      </c>
      <c r="D22" s="16" t="s">
        <v>65</v>
      </c>
      <c r="E22" s="16" t="s">
        <v>37</v>
      </c>
      <c r="F22" s="16" t="s">
        <v>62</v>
      </c>
      <c r="G22" s="18" t="n">
        <v>46251</v>
      </c>
      <c r="H22" s="18" t="n">
        <v>46325</v>
      </c>
      <c r="I22" s="14"/>
      <c r="J22" s="14"/>
      <c r="K22" s="15"/>
      <c r="L22" s="14"/>
      <c r="M22" s="14"/>
      <c r="N22" s="14"/>
      <c r="O22" s="15"/>
      <c r="P22" s="14"/>
      <c r="Q22" s="14"/>
      <c r="R22" s="14"/>
      <c r="S22" s="14"/>
      <c r="T22" s="14"/>
      <c r="U22" s="14"/>
      <c r="V22" s="14"/>
      <c r="W22" s="14"/>
      <c r="X22" s="14"/>
      <c r="Y22" s="14"/>
      <c r="Z22" s="14"/>
      <c r="AA22" s="14"/>
      <c r="AB22" s="14"/>
      <c r="AC22" s="14"/>
    </row>
    <row r="23" customFormat="false" ht="15.75" hidden="false" customHeight="true" outlineLevel="0" collapsed="false">
      <c r="A23" s="16" t="s">
        <v>66</v>
      </c>
      <c r="B23" s="17" t="s">
        <v>67</v>
      </c>
      <c r="C23" s="16" t="s">
        <v>15</v>
      </c>
      <c r="D23" s="16" t="s">
        <v>68</v>
      </c>
      <c r="E23" s="16" t="s">
        <v>37</v>
      </c>
      <c r="F23" s="16" t="s">
        <v>69</v>
      </c>
      <c r="G23" s="23" t="n">
        <v>46317</v>
      </c>
      <c r="H23" s="23" t="n">
        <v>46319</v>
      </c>
      <c r="I23" s="14"/>
      <c r="J23" s="14"/>
      <c r="K23" s="15"/>
      <c r="L23" s="14"/>
      <c r="M23" s="14"/>
      <c r="N23" s="14"/>
      <c r="O23" s="15"/>
      <c r="P23" s="14"/>
      <c r="Q23" s="14"/>
      <c r="R23" s="14"/>
      <c r="S23" s="14"/>
      <c r="T23" s="14"/>
      <c r="U23" s="14"/>
      <c r="V23" s="14"/>
      <c r="W23" s="14"/>
      <c r="X23" s="14"/>
      <c r="Y23" s="14"/>
      <c r="Z23" s="14"/>
      <c r="AA23" s="14"/>
      <c r="AB23" s="14"/>
      <c r="AC23" s="14"/>
    </row>
    <row r="24" customFormat="false" ht="15.75" hidden="false" customHeight="true" outlineLevel="0" collapsed="false">
      <c r="A24" s="16" t="s">
        <v>70</v>
      </c>
      <c r="B24" s="17" t="s">
        <v>71</v>
      </c>
      <c r="C24" s="16" t="s">
        <v>29</v>
      </c>
      <c r="D24" s="16" t="s">
        <v>66</v>
      </c>
      <c r="E24" s="16"/>
      <c r="F24" s="16" t="s">
        <v>72</v>
      </c>
      <c r="G24" s="18" t="n">
        <v>46319</v>
      </c>
      <c r="H24" s="18" t="n">
        <v>46319</v>
      </c>
      <c r="I24" s="14"/>
      <c r="J24" s="14"/>
      <c r="K24" s="15"/>
      <c r="L24" s="14"/>
      <c r="M24" s="14"/>
      <c r="N24" s="14"/>
      <c r="O24" s="15"/>
      <c r="P24" s="14"/>
      <c r="Q24" s="14"/>
      <c r="R24" s="14"/>
      <c r="S24" s="14"/>
      <c r="T24" s="14"/>
      <c r="U24" s="14"/>
      <c r="V24" s="14"/>
      <c r="W24" s="14"/>
      <c r="X24" s="14"/>
      <c r="Y24" s="14"/>
      <c r="Z24" s="14"/>
      <c r="AA24" s="14"/>
      <c r="AB24" s="14"/>
      <c r="AC24" s="14"/>
    </row>
    <row r="25" customFormat="false" ht="42" hidden="false" customHeight="true" outlineLevel="0" collapsed="false">
      <c r="A25" s="16" t="s">
        <v>73</v>
      </c>
      <c r="B25" s="19" t="s">
        <v>74</v>
      </c>
      <c r="C25" s="16" t="s">
        <v>54</v>
      </c>
      <c r="D25" s="16" t="s">
        <v>75</v>
      </c>
      <c r="E25" s="16"/>
      <c r="F25" s="20" t="s">
        <v>76</v>
      </c>
      <c r="G25" s="23" t="n">
        <v>46317</v>
      </c>
      <c r="H25" s="23" t="n">
        <v>46317</v>
      </c>
      <c r="I25" s="14"/>
      <c r="J25" s="14"/>
      <c r="K25" s="15"/>
      <c r="L25" s="14"/>
      <c r="M25" s="14"/>
      <c r="N25" s="14"/>
      <c r="O25" s="15"/>
      <c r="P25" s="14"/>
      <c r="Q25" s="14"/>
      <c r="R25" s="14"/>
      <c r="S25" s="14"/>
      <c r="T25" s="14"/>
      <c r="U25" s="14"/>
      <c r="V25" s="14"/>
      <c r="W25" s="14"/>
      <c r="X25" s="14"/>
      <c r="Y25" s="14"/>
      <c r="Z25" s="14"/>
      <c r="AA25" s="14"/>
      <c r="AB25" s="14"/>
      <c r="AC25" s="14"/>
    </row>
    <row r="26" customFormat="false" ht="15.75" hidden="false" customHeight="true" outlineLevel="0" collapsed="false">
      <c r="A26" s="16" t="s">
        <v>77</v>
      </c>
      <c r="B26" s="17" t="s">
        <v>78</v>
      </c>
      <c r="C26" s="16" t="s">
        <v>15</v>
      </c>
      <c r="D26" s="16" t="s">
        <v>79</v>
      </c>
      <c r="E26" s="16" t="n">
        <v>13</v>
      </c>
      <c r="F26" s="16" t="s">
        <v>80</v>
      </c>
      <c r="G26" s="18" t="n">
        <v>46321</v>
      </c>
      <c r="H26" s="18" t="n">
        <v>46330</v>
      </c>
      <c r="I26" s="14"/>
      <c r="J26" s="14"/>
      <c r="K26" s="15"/>
      <c r="L26" s="14"/>
      <c r="M26" s="14"/>
      <c r="N26" s="14"/>
      <c r="O26" s="15"/>
      <c r="P26" s="14"/>
      <c r="Q26" s="14"/>
      <c r="R26" s="14"/>
      <c r="S26" s="14"/>
      <c r="T26" s="14"/>
      <c r="U26" s="14"/>
      <c r="V26" s="14"/>
      <c r="W26" s="14"/>
      <c r="X26" s="14"/>
      <c r="Y26" s="14"/>
      <c r="Z26" s="14"/>
      <c r="AA26" s="14"/>
      <c r="AB26" s="14"/>
      <c r="AC26" s="14"/>
    </row>
    <row r="27" customFormat="false" ht="15.75" hidden="false" customHeight="true" outlineLevel="0" collapsed="false">
      <c r="A27" s="16" t="s">
        <v>81</v>
      </c>
      <c r="B27" s="17" t="s">
        <v>82</v>
      </c>
      <c r="C27" s="16" t="s">
        <v>29</v>
      </c>
      <c r="D27" s="16" t="s">
        <v>77</v>
      </c>
      <c r="E27" s="16"/>
      <c r="F27" s="16" t="s">
        <v>83</v>
      </c>
      <c r="G27" s="21" t="s">
        <v>37</v>
      </c>
      <c r="H27" s="21" t="s">
        <v>37</v>
      </c>
    </row>
    <row r="28" customFormat="false" ht="15.75" hidden="false" customHeight="true" outlineLevel="0" collapsed="false">
      <c r="A28" s="16" t="s">
        <v>84</v>
      </c>
      <c r="B28" s="17" t="s">
        <v>85</v>
      </c>
      <c r="C28" s="16" t="s">
        <v>15</v>
      </c>
      <c r="D28" s="16" t="s">
        <v>81</v>
      </c>
      <c r="E28" s="16"/>
      <c r="F28" s="16" t="s">
        <v>62</v>
      </c>
      <c r="G28" s="22" t="n">
        <v>46273</v>
      </c>
      <c r="H28" s="22" t="n">
        <v>46325</v>
      </c>
    </row>
    <row r="29" customFormat="false" ht="15.75" hidden="false" customHeight="true" outlineLevel="0" collapsed="false">
      <c r="A29" s="16" t="s">
        <v>86</v>
      </c>
      <c r="B29" s="17" t="s">
        <v>87</v>
      </c>
      <c r="C29" s="16" t="s">
        <v>57</v>
      </c>
      <c r="D29" s="16" t="s">
        <v>88</v>
      </c>
      <c r="E29" s="16" t="s">
        <v>89</v>
      </c>
      <c r="F29" s="16" t="s">
        <v>90</v>
      </c>
      <c r="G29" s="16"/>
      <c r="H29" s="16"/>
    </row>
    <row r="30" customFormat="false" ht="15.75" hidden="false" customHeight="true" outlineLevel="0" collapsed="false">
      <c r="A30" s="16" t="s">
        <v>91</v>
      </c>
      <c r="B30" s="17" t="s">
        <v>92</v>
      </c>
      <c r="C30" s="16" t="s">
        <v>15</v>
      </c>
      <c r="D30" s="16" t="s">
        <v>16</v>
      </c>
      <c r="E30" s="16" t="n">
        <v>1</v>
      </c>
      <c r="F30" s="16" t="s">
        <v>17</v>
      </c>
      <c r="G30" s="22" t="n">
        <v>46276</v>
      </c>
      <c r="H30" s="22" t="n">
        <v>46276</v>
      </c>
    </row>
    <row r="31" customFormat="false" ht="15.75" hidden="false" customHeight="true" outlineLevel="0" collapsed="false">
      <c r="A31" s="16" t="s">
        <v>93</v>
      </c>
      <c r="B31" s="17" t="s">
        <v>94</v>
      </c>
      <c r="C31" s="16" t="s">
        <v>95</v>
      </c>
      <c r="D31" s="16" t="s">
        <v>95</v>
      </c>
      <c r="E31" s="16"/>
      <c r="F31" s="16" t="s">
        <v>96</v>
      </c>
      <c r="G31" s="21" t="s">
        <v>37</v>
      </c>
      <c r="H31" s="21" t="s">
        <v>37</v>
      </c>
    </row>
    <row r="32" customFormat="false" ht="15.75" hidden="false" customHeight="true" outlineLevel="0" collapsed="false">
      <c r="A32" s="8" t="s">
        <v>97</v>
      </c>
      <c r="B32" s="9"/>
      <c r="C32" s="9"/>
      <c r="D32" s="9"/>
      <c r="E32" s="9"/>
      <c r="F32" s="9"/>
      <c r="G32" s="9"/>
      <c r="H32" s="9"/>
      <c r="I32" s="9"/>
      <c r="J32" s="9"/>
      <c r="K32" s="10"/>
      <c r="L32" s="9"/>
      <c r="M32" s="9"/>
      <c r="N32" s="9"/>
      <c r="O32" s="10"/>
      <c r="P32" s="9"/>
      <c r="Q32" s="9"/>
      <c r="R32" s="9"/>
      <c r="S32" s="9"/>
      <c r="T32" s="9"/>
      <c r="U32" s="9"/>
      <c r="V32" s="9"/>
      <c r="W32" s="9"/>
      <c r="X32" s="9"/>
      <c r="Y32" s="9"/>
      <c r="Z32" s="9"/>
      <c r="AA32" s="9"/>
      <c r="AB32" s="9"/>
      <c r="AC32" s="9"/>
    </row>
    <row r="33" customFormat="false" ht="15" hidden="false" customHeight="true" outlineLevel="0" collapsed="false">
      <c r="A33" s="11" t="s">
        <v>98</v>
      </c>
      <c r="B33" s="12" t="s">
        <v>99</v>
      </c>
      <c r="C33" s="11" t="s">
        <v>15</v>
      </c>
      <c r="D33" s="11" t="s">
        <v>16</v>
      </c>
      <c r="E33" s="11" t="s">
        <v>100</v>
      </c>
      <c r="F33" s="11" t="s">
        <v>101</v>
      </c>
      <c r="G33" s="30" t="n">
        <v>46309</v>
      </c>
      <c r="H33" s="30" t="n">
        <v>46309</v>
      </c>
      <c r="I33" s="31"/>
      <c r="J33" s="31"/>
      <c r="K33" s="15"/>
      <c r="L33" s="31"/>
      <c r="M33" s="31"/>
      <c r="N33" s="31"/>
      <c r="O33" s="15"/>
      <c r="P33" s="31"/>
      <c r="Q33" s="31"/>
      <c r="R33" s="31"/>
      <c r="S33" s="31"/>
      <c r="T33" s="31"/>
      <c r="U33" s="31"/>
      <c r="V33" s="31"/>
      <c r="W33" s="31"/>
      <c r="X33" s="31"/>
      <c r="Y33" s="31"/>
      <c r="Z33" s="31"/>
      <c r="AA33" s="31"/>
      <c r="AB33" s="31"/>
      <c r="AC33" s="31"/>
    </row>
    <row r="34" customFormat="false" ht="15" hidden="false" customHeight="true" outlineLevel="0" collapsed="false">
      <c r="A34" s="11" t="s">
        <v>65</v>
      </c>
      <c r="B34" s="12" t="s">
        <v>102</v>
      </c>
      <c r="C34" s="11" t="s">
        <v>15</v>
      </c>
      <c r="D34" s="11" t="s">
        <v>103</v>
      </c>
      <c r="E34" s="11" t="n">
        <v>3</v>
      </c>
      <c r="F34" s="11" t="s">
        <v>104</v>
      </c>
      <c r="G34" s="32"/>
      <c r="H34" s="32"/>
      <c r="I34" s="31"/>
      <c r="J34" s="31"/>
      <c r="K34" s="15"/>
      <c r="L34" s="31"/>
      <c r="M34" s="31"/>
      <c r="N34" s="31"/>
      <c r="O34" s="15"/>
      <c r="P34" s="31"/>
      <c r="Q34" s="31"/>
      <c r="R34" s="31"/>
      <c r="S34" s="31"/>
      <c r="T34" s="31"/>
      <c r="U34" s="31"/>
      <c r="V34" s="31"/>
      <c r="W34" s="31"/>
      <c r="X34" s="31"/>
      <c r="Y34" s="31"/>
      <c r="Z34" s="31"/>
      <c r="AA34" s="31"/>
      <c r="AB34" s="31"/>
      <c r="AC34" s="31"/>
    </row>
    <row r="35" customFormat="false" ht="15" hidden="false" customHeight="true" outlineLevel="0" collapsed="false">
      <c r="A35" s="11" t="s">
        <v>105</v>
      </c>
      <c r="B35" s="12" t="s">
        <v>106</v>
      </c>
      <c r="C35" s="11" t="s">
        <v>107</v>
      </c>
      <c r="D35" s="11" t="s">
        <v>16</v>
      </c>
      <c r="E35" s="11" t="s">
        <v>16</v>
      </c>
      <c r="F35" s="11" t="s">
        <v>108</v>
      </c>
      <c r="G35" s="32"/>
      <c r="H35" s="32"/>
      <c r="I35" s="31"/>
      <c r="J35" s="31"/>
      <c r="K35" s="15"/>
      <c r="L35" s="31"/>
      <c r="M35" s="31"/>
      <c r="N35" s="31"/>
      <c r="O35" s="15"/>
      <c r="P35" s="31"/>
      <c r="Q35" s="31"/>
      <c r="R35" s="31"/>
      <c r="S35" s="31"/>
      <c r="T35" s="31"/>
      <c r="U35" s="31"/>
      <c r="V35" s="31"/>
      <c r="W35" s="31"/>
      <c r="X35" s="31"/>
      <c r="Y35" s="31"/>
      <c r="Z35" s="31"/>
      <c r="AA35" s="31"/>
      <c r="AB35" s="31"/>
      <c r="AC35" s="31"/>
    </row>
    <row r="36" customFormat="false" ht="15" hidden="false" customHeight="true" outlineLevel="0" collapsed="false">
      <c r="A36" s="11" t="s">
        <v>109</v>
      </c>
      <c r="B36" s="12" t="s">
        <v>110</v>
      </c>
      <c r="C36" s="11" t="s">
        <v>15</v>
      </c>
      <c r="D36" s="11" t="s">
        <v>111</v>
      </c>
      <c r="E36" s="11" t="n">
        <v>4</v>
      </c>
      <c r="F36" s="11" t="s">
        <v>59</v>
      </c>
      <c r="G36" s="32"/>
      <c r="H36" s="32"/>
      <c r="I36" s="31"/>
      <c r="J36" s="31"/>
      <c r="K36" s="15"/>
      <c r="L36" s="31"/>
      <c r="M36" s="31"/>
      <c r="N36" s="31"/>
      <c r="O36" s="15"/>
      <c r="P36" s="31"/>
      <c r="Q36" s="31"/>
      <c r="R36" s="31"/>
      <c r="S36" s="31"/>
      <c r="T36" s="31"/>
      <c r="U36" s="31"/>
      <c r="V36" s="31"/>
      <c r="W36" s="31"/>
      <c r="X36" s="31"/>
      <c r="Y36" s="31"/>
      <c r="Z36" s="31"/>
      <c r="AA36" s="31"/>
      <c r="AB36" s="31"/>
      <c r="AC36" s="31"/>
    </row>
    <row r="37" customFormat="false" ht="15" hidden="false" customHeight="true" outlineLevel="0" collapsed="false">
      <c r="A37" s="33" t="s">
        <v>112</v>
      </c>
      <c r="B37" s="34" t="s">
        <v>113</v>
      </c>
      <c r="C37" s="33" t="s">
        <v>114</v>
      </c>
      <c r="D37" s="33" t="s">
        <v>58</v>
      </c>
      <c r="E37" s="33" t="s">
        <v>16</v>
      </c>
      <c r="F37" s="33" t="s">
        <v>59</v>
      </c>
      <c r="I37" s="31"/>
      <c r="J37" s="31"/>
      <c r="K37" s="31"/>
      <c r="L37" s="31"/>
      <c r="M37" s="31"/>
      <c r="N37" s="31"/>
      <c r="O37" s="31"/>
      <c r="P37" s="31"/>
      <c r="Q37" s="31"/>
      <c r="R37" s="31"/>
      <c r="S37" s="31"/>
      <c r="T37" s="31"/>
      <c r="U37" s="31"/>
      <c r="V37" s="31"/>
      <c r="W37" s="31"/>
      <c r="X37" s="31"/>
      <c r="Y37" s="31"/>
      <c r="Z37" s="31"/>
      <c r="AA37" s="31"/>
      <c r="AB37" s="31"/>
      <c r="AC37" s="31"/>
    </row>
    <row r="38" customFormat="false" ht="15" hidden="false" customHeight="true" outlineLevel="0" collapsed="false">
      <c r="A38" s="11" t="s">
        <v>115</v>
      </c>
      <c r="B38" s="35" t="s">
        <v>116</v>
      </c>
      <c r="C38" s="11" t="s">
        <v>108</v>
      </c>
      <c r="D38" s="11" t="s">
        <v>16</v>
      </c>
      <c r="E38" s="11"/>
      <c r="F38" s="11" t="s">
        <v>59</v>
      </c>
      <c r="G38" s="36" t="s">
        <v>37</v>
      </c>
      <c r="H38" s="32"/>
      <c r="I38" s="31"/>
      <c r="J38" s="31"/>
      <c r="K38" s="15"/>
      <c r="L38" s="31"/>
      <c r="M38" s="31"/>
      <c r="N38" s="31"/>
      <c r="O38" s="15"/>
      <c r="P38" s="31"/>
      <c r="Q38" s="31"/>
      <c r="R38" s="31"/>
      <c r="S38" s="31"/>
      <c r="T38" s="31"/>
      <c r="U38" s="31"/>
      <c r="V38" s="31"/>
      <c r="W38" s="31"/>
      <c r="X38" s="31"/>
      <c r="Y38" s="31"/>
      <c r="Z38" s="31"/>
      <c r="AA38" s="31"/>
      <c r="AB38" s="31"/>
      <c r="AC38" s="31"/>
    </row>
    <row r="39" customFormat="false" ht="15" hidden="false" customHeight="true" outlineLevel="0" collapsed="false">
      <c r="A39" s="16" t="s">
        <v>117</v>
      </c>
      <c r="B39" s="17" t="s">
        <v>118</v>
      </c>
      <c r="C39" s="16" t="s">
        <v>57</v>
      </c>
      <c r="D39" s="16" t="s">
        <v>58</v>
      </c>
      <c r="E39" s="16" t="s">
        <v>119</v>
      </c>
      <c r="F39" s="16" t="s">
        <v>17</v>
      </c>
    </row>
    <row r="40" customFormat="false" ht="15" hidden="false" customHeight="true" outlineLevel="0" collapsed="false">
      <c r="A40" s="16" t="s">
        <v>120</v>
      </c>
      <c r="B40" s="17" t="s">
        <v>121</v>
      </c>
      <c r="C40" s="16" t="s">
        <v>57</v>
      </c>
      <c r="D40" s="16" t="s">
        <v>58</v>
      </c>
      <c r="E40" s="16" t="s">
        <v>119</v>
      </c>
      <c r="F40" s="16" t="s">
        <v>122</v>
      </c>
      <c r="G40" s="16"/>
      <c r="H40" s="16"/>
    </row>
    <row r="41" customFormat="false" ht="15" hidden="false" customHeight="true" outlineLevel="0" collapsed="false">
      <c r="A41" s="16" t="s">
        <v>123</v>
      </c>
      <c r="B41" s="17" t="s">
        <v>124</v>
      </c>
      <c r="C41" s="16" t="s">
        <v>57</v>
      </c>
      <c r="D41" s="16" t="s">
        <v>16</v>
      </c>
      <c r="E41" s="16" t="s">
        <v>37</v>
      </c>
      <c r="F41" s="16" t="s">
        <v>125</v>
      </c>
      <c r="G41" s="21" t="n">
        <v>46314</v>
      </c>
      <c r="H41" s="21" t="n">
        <v>46314</v>
      </c>
    </row>
    <row r="42" customFormat="false" ht="15" hidden="false" customHeight="true" outlineLevel="0" collapsed="false">
      <c r="A42" s="16" t="s">
        <v>126</v>
      </c>
      <c r="B42" s="17" t="s">
        <v>127</v>
      </c>
      <c r="C42" s="16" t="s">
        <v>54</v>
      </c>
      <c r="D42" s="16" t="s">
        <v>16</v>
      </c>
      <c r="E42" s="16" t="s">
        <v>16</v>
      </c>
      <c r="F42" s="16" t="s">
        <v>128</v>
      </c>
      <c r="G42" s="21" t="n">
        <v>46321</v>
      </c>
      <c r="H42" s="21" t="n">
        <v>46321</v>
      </c>
    </row>
    <row r="43" customFormat="false" ht="15" hidden="false" customHeight="true" outlineLevel="0" collapsed="false">
      <c r="A43" s="16" t="s">
        <v>129</v>
      </c>
      <c r="B43" s="17" t="s">
        <v>130</v>
      </c>
      <c r="C43" s="16" t="s">
        <v>57</v>
      </c>
      <c r="D43" s="16" t="s">
        <v>16</v>
      </c>
      <c r="E43" s="16" t="s">
        <v>16</v>
      </c>
      <c r="F43" s="16" t="s">
        <v>131</v>
      </c>
      <c r="G43" s="21" t="n">
        <v>46330</v>
      </c>
      <c r="H43" s="21" t="n">
        <v>46330</v>
      </c>
    </row>
    <row r="44" customFormat="false" ht="15" hidden="false" customHeight="true" outlineLevel="0" collapsed="false">
      <c r="A44" s="16" t="s">
        <v>132</v>
      </c>
      <c r="B44" s="17" t="s">
        <v>133</v>
      </c>
      <c r="C44" s="16" t="s">
        <v>134</v>
      </c>
      <c r="D44" s="16" t="s">
        <v>16</v>
      </c>
      <c r="E44" s="16" t="s">
        <v>37</v>
      </c>
      <c r="F44" s="16" t="s">
        <v>135</v>
      </c>
      <c r="G44" s="21" t="n">
        <v>46317</v>
      </c>
      <c r="H44" s="21" t="n">
        <v>46317</v>
      </c>
    </row>
    <row r="45" customFormat="false" ht="15" hidden="false" customHeight="true" outlineLevel="0" collapsed="false">
      <c r="A45" s="16" t="s">
        <v>136</v>
      </c>
      <c r="B45" s="17" t="s">
        <v>137</v>
      </c>
      <c r="C45" s="16" t="s">
        <v>54</v>
      </c>
      <c r="D45" s="16" t="s">
        <v>16</v>
      </c>
      <c r="E45" s="16" t="s">
        <v>16</v>
      </c>
      <c r="F45" s="16" t="s">
        <v>138</v>
      </c>
      <c r="G45" s="21" t="n">
        <v>46323</v>
      </c>
      <c r="H45" s="21" t="n">
        <v>46323</v>
      </c>
    </row>
    <row r="46" customFormat="false" ht="15" hidden="false" customHeight="true" outlineLevel="0" collapsed="false">
      <c r="A46" s="16" t="s">
        <v>139</v>
      </c>
      <c r="B46" s="17" t="s">
        <v>140</v>
      </c>
      <c r="C46" s="16" t="s">
        <v>37</v>
      </c>
      <c r="D46" s="16" t="s">
        <v>136</v>
      </c>
      <c r="E46" s="16" t="s">
        <v>37</v>
      </c>
      <c r="F46" s="16" t="s">
        <v>141</v>
      </c>
      <c r="G46" s="21" t="n">
        <v>46323</v>
      </c>
      <c r="H46" s="21" t="n">
        <v>46329</v>
      </c>
    </row>
    <row r="47" customFormat="false" ht="15" hidden="false" customHeight="true" outlineLevel="0" collapsed="false">
      <c r="A47" s="16" t="s">
        <v>142</v>
      </c>
      <c r="B47" s="17" t="s">
        <v>143</v>
      </c>
      <c r="C47" s="16" t="s">
        <v>134</v>
      </c>
      <c r="D47" s="16" t="s">
        <v>139</v>
      </c>
      <c r="E47" s="16" t="s">
        <v>37</v>
      </c>
      <c r="F47" s="16" t="s">
        <v>144</v>
      </c>
      <c r="G47" s="21" t="n">
        <v>46338</v>
      </c>
      <c r="H47" s="21" t="n">
        <v>46338</v>
      </c>
    </row>
    <row r="48" customFormat="false" ht="15" hidden="false" customHeight="true" outlineLevel="0" collapsed="false">
      <c r="A48" s="16" t="s">
        <v>145</v>
      </c>
      <c r="B48" s="17" t="s">
        <v>146</v>
      </c>
      <c r="C48" s="16" t="s">
        <v>15</v>
      </c>
      <c r="D48" s="16" t="s">
        <v>16</v>
      </c>
      <c r="E48" s="16" t="s">
        <v>37</v>
      </c>
      <c r="F48" s="16" t="s">
        <v>147</v>
      </c>
      <c r="G48" s="21"/>
      <c r="H48" s="21"/>
    </row>
    <row r="49" customFormat="false" ht="15" hidden="false" customHeight="true" outlineLevel="0" collapsed="false">
      <c r="A49" s="5" t="s">
        <v>148</v>
      </c>
    </row>
    <row r="50" customFormat="false" ht="15" hidden="false" customHeight="true" outlineLevel="0" collapsed="false">
      <c r="A50" s="5" t="s">
        <v>149</v>
      </c>
    </row>
    <row r="51" customFormat="false" ht="15" hidden="false" customHeight="true" outlineLevel="0" collapsed="false">
      <c r="A51" s="5" t="s">
        <v>150</v>
      </c>
      <c r="B51" s="1" t="s">
        <v>151</v>
      </c>
    </row>
    <row r="52" customFormat="false" ht="15" hidden="false" customHeight="true" outlineLevel="0" collapsed="false">
      <c r="A52" s="5" t="s">
        <v>152</v>
      </c>
    </row>
    <row r="53" customFormat="false" ht="15" hidden="false" customHeight="true" outlineLevel="0" collapsed="false">
      <c r="A53" s="5" t="s">
        <v>153</v>
      </c>
    </row>
  </sheetData>
  <conditionalFormatting sqref="I7:AC7">
    <cfRule type="expression" priority="2" aboveAverage="0" equalAverage="0" bottom="0" percent="0" rank="0" text="" dxfId="0">
      <formula>AND(ISNUMBER($G7),ISNUMBER($H7),$G7&lt;=I$5+6,$H7&gt;=I$5)</formula>
    </cfRule>
  </conditionalFormatting>
  <conditionalFormatting sqref="I8:AC8">
    <cfRule type="expression" priority="3" aboveAverage="0" equalAverage="0" bottom="0" percent="0" rank="0" text="" dxfId="0">
      <formula>AND(ISNUMBER($G8),ISNUMBER($H8),$G8&lt;=I$5+6,$H8&gt;=I$5)</formula>
    </cfRule>
  </conditionalFormatting>
  <conditionalFormatting sqref="I9:AC9">
    <cfRule type="expression" priority="4" aboveAverage="0" equalAverage="0" bottom="0" percent="0" rank="0" text="" dxfId="0">
      <formula>AND(ISNUMBER($G9),ISNUMBER($H9),$G9&lt;=I$5+6,$H9&gt;=I$5)</formula>
    </cfRule>
  </conditionalFormatting>
  <conditionalFormatting sqref="I10:AC10">
    <cfRule type="expression" priority="5" aboveAverage="0" equalAverage="0" bottom="0" percent="0" rank="0" text="" dxfId="0">
      <formula>AND(ISNUMBER($G10),ISNUMBER($H10),$G10&lt;=I$5+6,$H10&gt;=I$5)</formula>
    </cfRule>
  </conditionalFormatting>
  <conditionalFormatting sqref="I11:AC11">
    <cfRule type="expression" priority="6" aboveAverage="0" equalAverage="0" bottom="0" percent="0" rank="0" text="" dxfId="0">
      <formula>AND(ISNUMBER($G11),ISNUMBER($H11),$G11&lt;=I$5+6,$H11&gt;=I$5)</formula>
    </cfRule>
  </conditionalFormatting>
  <conditionalFormatting sqref="I12:AC12">
    <cfRule type="expression" priority="7" aboveAverage="0" equalAverage="0" bottom="0" percent="0" rank="0" text="" dxfId="0">
      <formula>AND(ISNUMBER($G12),ISNUMBER($H12),$G12&lt;=I$5+6,$H12&gt;=I$5)</formula>
    </cfRule>
  </conditionalFormatting>
  <conditionalFormatting sqref="I13:AC13">
    <cfRule type="expression" priority="8" aboveAverage="0" equalAverage="0" bottom="0" percent="0" rank="0" text="" dxfId="0">
      <formula>AND(ISNUMBER($G13),ISNUMBER($H13),$G13&lt;=I$5+6,$H13&gt;=I$5)</formula>
    </cfRule>
  </conditionalFormatting>
  <conditionalFormatting sqref="I14:AC14">
    <cfRule type="expression" priority="9" aboveAverage="0" equalAverage="0" bottom="0" percent="0" rank="0" text="" dxfId="0">
      <formula>AND(ISNUMBER($G14),ISNUMBER($H14),$G14&lt;=I$5+6,$H14&gt;=I$5)</formula>
    </cfRule>
  </conditionalFormatting>
  <conditionalFormatting sqref="I15:AC15">
    <cfRule type="expression" priority="10" aboveAverage="0" equalAverage="0" bottom="0" percent="0" rank="0" text="" dxfId="0">
      <formula>AND(ISNUMBER($G15),ISNUMBER($H15),$G15&lt;=I$5+6,$H15&gt;=I$5)</formula>
    </cfRule>
  </conditionalFormatting>
  <conditionalFormatting sqref="I16:AC16">
    <cfRule type="expression" priority="11" aboveAverage="0" equalAverage="0" bottom="0" percent="0" rank="0" text="" dxfId="0">
      <formula>AND(ISNUMBER($G16),ISNUMBER($H16),$G16&lt;=I$5+6,$H16&gt;=I$5)</formula>
    </cfRule>
  </conditionalFormatting>
  <conditionalFormatting sqref="I18:AC18">
    <cfRule type="expression" priority="12" aboveAverage="0" equalAverage="0" bottom="0" percent="0" rank="0" text="" dxfId="0">
      <formula>AND(ISNUMBER($G18),ISNUMBER($H18),$G18&lt;=I$5+6,$H18&gt;=I$5)</formula>
    </cfRule>
  </conditionalFormatting>
  <conditionalFormatting sqref="I19:AC19">
    <cfRule type="expression" priority="13" aboveAverage="0" equalAverage="0" bottom="0" percent="0" rank="0" text="" dxfId="0">
      <formula>AND(ISNUMBER($G19),ISNUMBER($H19),$G19&lt;=I$5+6,$H19&gt;=I$5)</formula>
    </cfRule>
  </conditionalFormatting>
  <conditionalFormatting sqref="I20:AC20">
    <cfRule type="expression" priority="14" aboveAverage="0" equalAverage="0" bottom="0" percent="0" rank="0" text="" dxfId="0">
      <formula>AND(ISNUMBER($G20),ISNUMBER($H20),$G20&lt;=I$5+6,$H20&gt;=I$5)</formula>
    </cfRule>
  </conditionalFormatting>
  <conditionalFormatting sqref="I21:AC21">
    <cfRule type="expression" priority="15" aboveAverage="0" equalAverage="0" bottom="0" percent="0" rank="0" text="" dxfId="0">
      <formula>AND(ISNUMBER($G21),ISNUMBER($H21),$G21&lt;=I$5+6,$H21&gt;=I$5)</formula>
    </cfRule>
  </conditionalFormatting>
  <conditionalFormatting sqref="I22:AC22">
    <cfRule type="expression" priority="16" aboveAverage="0" equalAverage="0" bottom="0" percent="0" rank="0" text="" dxfId="0">
      <formula>AND(ISNUMBER($G22),ISNUMBER($H22),$G22&lt;=I$5+6,$H22&gt;=I$5)</formula>
    </cfRule>
  </conditionalFormatting>
  <conditionalFormatting sqref="I23:AC23">
    <cfRule type="expression" priority="17" aboveAverage="0" equalAverage="0" bottom="0" percent="0" rank="0" text="" dxfId="0">
      <formula>AND(ISNUMBER($G23),ISNUMBER($H23),$G23&lt;=I$5+6,$H23&gt;=I$5)</formula>
    </cfRule>
  </conditionalFormatting>
  <conditionalFormatting sqref="I24:AC24">
    <cfRule type="expression" priority="18" aboveAverage="0" equalAverage="0" bottom="0" percent="0" rank="0" text="" dxfId="0">
      <formula>AND(ISNUMBER($G24),ISNUMBER($H24),$G24&lt;=I$5+6,$H24&gt;=I$5)</formula>
    </cfRule>
  </conditionalFormatting>
  <conditionalFormatting sqref="I25:AC25">
    <cfRule type="expression" priority="19" aboveAverage="0" equalAverage="0" bottom="0" percent="0" rank="0" text="" dxfId="0">
      <formula>AND(ISNUMBER($G25),ISNUMBER($H25),$G25&lt;=I$5+6,$H25&gt;=I$5)</formula>
    </cfRule>
  </conditionalFormatting>
  <conditionalFormatting sqref="I26:AC26">
    <cfRule type="expression" priority="20" aboveAverage="0" equalAverage="0" bottom="0" percent="0" rank="0" text="" dxfId="0">
      <formula>AND(ISNUMBER($G26),ISNUMBER($H26),$G26&lt;=I$5+6,$H26&gt;=I$5)</formula>
    </cfRule>
  </conditionalFormatting>
  <conditionalFormatting sqref="I27:AC27">
    <cfRule type="expression" priority="21" aboveAverage="0" equalAverage="0" bottom="0" percent="0" rank="0" text="" dxfId="0">
      <formula>AND(ISNUMBER($G27),ISNUMBER($H27),$G27&lt;=I$5+6,$H27&gt;=I$5)</formula>
    </cfRule>
  </conditionalFormatting>
  <conditionalFormatting sqref="I28:AC28">
    <cfRule type="expression" priority="22" aboveAverage="0" equalAverage="0" bottom="0" percent="0" rank="0" text="" dxfId="0">
      <formula>AND(ISNUMBER($G28),ISNUMBER($H28),$G28&lt;=I$5+6,$H28&gt;=I$5)</formula>
    </cfRule>
  </conditionalFormatting>
  <conditionalFormatting sqref="I29:AC29">
    <cfRule type="expression" priority="23" aboveAverage="0" equalAverage="0" bottom="0" percent="0" rank="0" text="" dxfId="0">
      <formula>AND(ISNUMBER($G29),ISNUMBER($H29),$G29&lt;=I$5+6,$H29&gt;=I$5)</formula>
    </cfRule>
  </conditionalFormatting>
  <conditionalFormatting sqref="I30:AC30">
    <cfRule type="expression" priority="24" aboveAverage="0" equalAverage="0" bottom="0" percent="0" rank="0" text="" dxfId="0">
      <formula>AND(ISNUMBER($G30),ISNUMBER($H30),$G30&lt;=I$5+6,$H30&gt;=I$5)</formula>
    </cfRule>
  </conditionalFormatting>
  <conditionalFormatting sqref="I31:AC31">
    <cfRule type="expression" priority="25" aboveAverage="0" equalAverage="0" bottom="0" percent="0" rank="0" text="" dxfId="0">
      <formula>AND(ISNUMBER($G31),ISNUMBER($H31),$G31&lt;=I$5+6,$H31&gt;=I$5)</formula>
    </cfRule>
  </conditionalFormatting>
  <conditionalFormatting sqref="I33:AC33">
    <cfRule type="expression" priority="26" aboveAverage="0" equalAverage="0" bottom="0" percent="0" rank="0" text="" dxfId="0">
      <formula>AND(ISNUMBER($G33),ISNUMBER($H33),$G33&lt;=I$5+6,$H33&gt;=I$5)</formula>
    </cfRule>
  </conditionalFormatting>
  <conditionalFormatting sqref="I34:AC34">
    <cfRule type="expression" priority="27" aboveAverage="0" equalAverage="0" bottom="0" percent="0" rank="0" text="" dxfId="0">
      <formula>AND(ISNUMBER($G34),ISNUMBER($H34),$G34&lt;=I$5+6,$H34&gt;=I$5)</formula>
    </cfRule>
  </conditionalFormatting>
  <conditionalFormatting sqref="I35:AC35">
    <cfRule type="expression" priority="28" aboveAverage="0" equalAverage="0" bottom="0" percent="0" rank="0" text="" dxfId="0">
      <formula>AND(ISNUMBER($G35),ISNUMBER($H35),$G35&lt;=I$5+6,$H35&gt;=I$5)</formula>
    </cfRule>
  </conditionalFormatting>
  <conditionalFormatting sqref="I36:AC36">
    <cfRule type="expression" priority="29" aboveAverage="0" equalAverage="0" bottom="0" percent="0" rank="0" text="" dxfId="0">
      <formula>AND(ISNUMBER($G36),ISNUMBER($H36),$G36&lt;=I$5+6,$H36&gt;=I$5)</formula>
    </cfRule>
  </conditionalFormatting>
  <conditionalFormatting sqref="I37:AC37">
    <cfRule type="expression" priority="30" aboveAverage="0" equalAverage="0" bottom="0" percent="0" rank="0" text="" dxfId="0">
      <formula>AND(ISNUMBER($G37),ISNUMBER($H37),$G37&lt;=I$5+6,$H37&gt;=I$5)</formula>
    </cfRule>
  </conditionalFormatting>
  <conditionalFormatting sqref="I38:AC38">
    <cfRule type="expression" priority="31" aboveAverage="0" equalAverage="0" bottom="0" percent="0" rank="0" text="" dxfId="0">
      <formula>AND(ISNUMBER($G38),ISNUMBER($H38),$G38&lt;=I$5+6,$H38&gt;=I$5)</formula>
    </cfRule>
  </conditionalFormatting>
  <conditionalFormatting sqref="I39:AC39">
    <cfRule type="expression" priority="32" aboveAverage="0" equalAverage="0" bottom="0" percent="0" rank="0" text="" dxfId="0">
      <formula>AND(ISNUMBER($G39),ISNUMBER($H39),$G39&lt;=I$5+6,$H39&gt;=I$5)</formula>
    </cfRule>
  </conditionalFormatting>
  <conditionalFormatting sqref="I40:AC40">
    <cfRule type="expression" priority="33" aboveAverage="0" equalAverage="0" bottom="0" percent="0" rank="0" text="" dxfId="0">
      <formula>AND(ISNUMBER($G40),ISNUMBER($H40),$G40&lt;=I$5+6,$H40&gt;=I$5)</formula>
    </cfRule>
  </conditionalFormatting>
  <conditionalFormatting sqref="I41:AC41">
    <cfRule type="expression" priority="34" aboveAverage="0" equalAverage="0" bottom="0" percent="0" rank="0" text="" dxfId="0">
      <formula>AND(ISNUMBER($G41),ISNUMBER($H41),$G41&lt;=I$5+6,$H41&gt;=I$5)</formula>
    </cfRule>
  </conditionalFormatting>
  <conditionalFormatting sqref="I42:AC42">
    <cfRule type="expression" priority="35" aboveAverage="0" equalAverage="0" bottom="0" percent="0" rank="0" text="" dxfId="0">
      <formula>AND(ISNUMBER($G42),ISNUMBER($H42),$G42&lt;=I$5+6,$H42&gt;=I$5)</formula>
    </cfRule>
  </conditionalFormatting>
  <conditionalFormatting sqref="I43:AC43">
    <cfRule type="expression" priority="36" aboveAverage="0" equalAverage="0" bottom="0" percent="0" rank="0" text="" dxfId="0">
      <formula>AND(ISNUMBER($G43),ISNUMBER($H43),$G43&lt;=I$5+6,$H43&gt;=I$5)</formula>
    </cfRule>
  </conditionalFormatting>
  <conditionalFormatting sqref="I44:AC44">
    <cfRule type="expression" priority="37" aboveAverage="0" equalAverage="0" bottom="0" percent="0" rank="0" text="" dxfId="0">
      <formula>AND(ISNUMBER($G44),ISNUMBER($H44),$G44&lt;=I$5+6,$H44&gt;=I$5)</formula>
    </cfRule>
    <cfRule type="expression" priority="38" aboveAverage="0" equalAverage="0" bottom="0" percent="0" rank="0" text="" dxfId="0">
      <formula>AND(ISNUMBER($G44),ISNUMBER($H44),$G44&lt;=I$5+6,$H44&gt;=I$5)</formula>
    </cfRule>
  </conditionalFormatting>
  <conditionalFormatting sqref="I45:AC45">
    <cfRule type="expression" priority="39" aboveAverage="0" equalAverage="0" bottom="0" percent="0" rank="0" text="" dxfId="0">
      <formula>AND(ISNUMBER($G45),ISNUMBER($H45),$G45&lt;=I$5+6,$H45&gt;=I$5)</formula>
    </cfRule>
  </conditionalFormatting>
  <conditionalFormatting sqref="I46:AC46">
    <cfRule type="expression" priority="40" aboveAverage="0" equalAverage="0" bottom="0" percent="0" rank="0" text="" dxfId="0">
      <formula>AND(ISNUMBER($G46),ISNUMBER($H46),$G46&lt;=I$5+6,$H46&gt;=I$5)</formula>
    </cfRule>
  </conditionalFormatting>
  <conditionalFormatting sqref="I47:AC47">
    <cfRule type="expression" priority="41" aboveAverage="0" equalAverage="0" bottom="0" percent="0" rank="0" text="" dxfId="0">
      <formula>AND(ISNUMBER($G47),ISNUMBER($H47),$G47&lt;=I$5+6,$H47&gt;=I$5)</formula>
    </cfRule>
  </conditionalFormatting>
  <conditionalFormatting sqref="I48:AC48">
    <cfRule type="expression" priority="42" aboveAverage="0" equalAverage="0" bottom="0" percent="0" rank="0" text="" dxfId="0">
      <formula>AND(ISNUMBER($G48),ISNUMBER($H48),$G48&lt;=I$5+6,$H48&gt;=I$5)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30" activeCellId="0" sqref="D30"/>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52"/>
    <col collapsed="false" customWidth="true" hidden="false" outlineLevel="0" max="4" min="4" style="1" width="24"/>
    <col collapsed="false" customWidth="true" hidden="false" outlineLevel="0" max="5" min="5" style="1" width="14"/>
    <col collapsed="false" customWidth="true" hidden="false" outlineLevel="0" max="7" min="6" style="1" width="12"/>
    <col collapsed="false" customWidth="true" hidden="false" outlineLevel="0" max="8" min="8" style="1" width="8"/>
    <col collapsed="false" customWidth="true" hidden="false" outlineLevel="0" max="9" min="9" style="1" width="60"/>
  </cols>
  <sheetData>
    <row r="1" customFormat="false" ht="21" hidden="false" customHeight="true" outlineLevel="0" collapsed="false">
      <c r="A1" s="2" t="s">
        <v>154</v>
      </c>
    </row>
    <row r="2" customFormat="false" ht="15" hidden="false" customHeight="true" outlineLevel="0" collapsed="false">
      <c r="A2" s="37" t="s">
        <v>155</v>
      </c>
    </row>
    <row r="4" customFormat="false" ht="15" hidden="false" customHeight="true" outlineLevel="0" collapsed="false">
      <c r="A4" s="6" t="s">
        <v>4</v>
      </c>
      <c r="B4" s="6" t="s">
        <v>156</v>
      </c>
      <c r="C4" s="6" t="s">
        <v>5</v>
      </c>
      <c r="D4" s="6" t="s">
        <v>157</v>
      </c>
      <c r="E4" s="6" t="s">
        <v>158</v>
      </c>
      <c r="F4" s="6" t="s">
        <v>159</v>
      </c>
      <c r="G4" s="6" t="s">
        <v>160</v>
      </c>
      <c r="H4" s="6" t="s">
        <v>161</v>
      </c>
      <c r="I4" s="6" t="s">
        <v>162</v>
      </c>
    </row>
    <row r="5" customFormat="false" ht="31.5" hidden="false" customHeight="true" outlineLevel="0" collapsed="false">
      <c r="A5" s="11" t="s">
        <v>13</v>
      </c>
      <c r="B5" s="11" t="s">
        <v>163</v>
      </c>
      <c r="C5" s="12" t="s">
        <v>164</v>
      </c>
      <c r="D5" s="11" t="s">
        <v>165</v>
      </c>
      <c r="E5" s="11" t="s">
        <v>166</v>
      </c>
      <c r="F5" s="11" t="s">
        <v>167</v>
      </c>
      <c r="G5" s="11" t="s">
        <v>167</v>
      </c>
      <c r="H5" s="11" t="n">
        <v>2</v>
      </c>
      <c r="I5" s="12" t="s">
        <v>168</v>
      </c>
    </row>
    <row r="6" customFormat="false" ht="31.5" hidden="false" customHeight="true" outlineLevel="0" collapsed="false">
      <c r="A6" s="11" t="s">
        <v>18</v>
      </c>
      <c r="B6" s="11" t="s">
        <v>169</v>
      </c>
      <c r="C6" s="12" t="s">
        <v>170</v>
      </c>
      <c r="D6" s="11" t="s">
        <v>171</v>
      </c>
      <c r="E6" s="11" t="s">
        <v>166</v>
      </c>
      <c r="F6" s="11" t="s">
        <v>172</v>
      </c>
      <c r="G6" s="11" t="s">
        <v>167</v>
      </c>
      <c r="H6" s="11" t="n">
        <v>2</v>
      </c>
      <c r="I6" s="12" t="s">
        <v>173</v>
      </c>
    </row>
    <row r="7" customFormat="false" ht="31.5" hidden="false" customHeight="true" outlineLevel="0" collapsed="false">
      <c r="A7" s="11" t="s">
        <v>21</v>
      </c>
      <c r="B7" s="11" t="s">
        <v>174</v>
      </c>
      <c r="C7" s="12" t="s">
        <v>175</v>
      </c>
      <c r="D7" s="11" t="s">
        <v>176</v>
      </c>
      <c r="E7" s="11" t="s">
        <v>177</v>
      </c>
      <c r="F7" s="11" t="s">
        <v>172</v>
      </c>
      <c r="G7" s="11" t="s">
        <v>167</v>
      </c>
      <c r="H7" s="11" t="n">
        <v>7</v>
      </c>
      <c r="I7" s="12" t="s">
        <v>178</v>
      </c>
    </row>
    <row r="8" customFormat="false" ht="15.75" hidden="false" customHeight="true" outlineLevel="0" collapsed="false">
      <c r="A8" s="11" t="s">
        <v>23</v>
      </c>
      <c r="B8" s="11" t="s">
        <v>179</v>
      </c>
      <c r="C8" s="12" t="s">
        <v>180</v>
      </c>
      <c r="D8" s="11" t="s">
        <v>181</v>
      </c>
      <c r="E8" s="11" t="s">
        <v>182</v>
      </c>
      <c r="F8" s="11" t="s">
        <v>172</v>
      </c>
      <c r="G8" s="11" t="s">
        <v>167</v>
      </c>
      <c r="H8" s="11" t="n">
        <v>10</v>
      </c>
      <c r="I8" s="12" t="s">
        <v>183</v>
      </c>
    </row>
    <row r="9" customFormat="false" ht="15.75" hidden="false" customHeight="true" outlineLevel="0" collapsed="false">
      <c r="A9" s="11" t="s">
        <v>25</v>
      </c>
      <c r="B9" s="11" t="s">
        <v>169</v>
      </c>
      <c r="C9" s="12" t="s">
        <v>184</v>
      </c>
      <c r="D9" s="11" t="s">
        <v>185</v>
      </c>
      <c r="E9" s="11" t="s">
        <v>166</v>
      </c>
      <c r="F9" s="11" t="s">
        <v>167</v>
      </c>
      <c r="G9" s="11" t="s">
        <v>167</v>
      </c>
      <c r="H9" s="11" t="n">
        <v>1</v>
      </c>
      <c r="I9" s="12" t="s">
        <v>186</v>
      </c>
    </row>
    <row r="10" customFormat="false" ht="15.75" hidden="false" customHeight="true" outlineLevel="0" collapsed="false">
      <c r="A10" s="11" t="s">
        <v>32</v>
      </c>
      <c r="B10" s="11" t="s">
        <v>187</v>
      </c>
      <c r="C10" s="12" t="s">
        <v>188</v>
      </c>
      <c r="D10" s="11" t="s">
        <v>189</v>
      </c>
      <c r="E10" s="11" t="s">
        <v>190</v>
      </c>
      <c r="F10" s="11" t="s">
        <v>172</v>
      </c>
      <c r="G10" s="11" t="s">
        <v>167</v>
      </c>
      <c r="H10" s="11" t="n">
        <v>5</v>
      </c>
      <c r="I10" s="12" t="s">
        <v>191</v>
      </c>
    </row>
    <row r="11" customFormat="false" ht="15.75" hidden="false" customHeight="true" outlineLevel="0" collapsed="false">
      <c r="A11" s="11" t="s">
        <v>35</v>
      </c>
      <c r="B11" s="11" t="s">
        <v>192</v>
      </c>
      <c r="C11" s="12" t="s">
        <v>193</v>
      </c>
      <c r="D11" s="11" t="s">
        <v>194</v>
      </c>
      <c r="E11" s="11" t="s">
        <v>195</v>
      </c>
      <c r="F11" s="11" t="s">
        <v>172</v>
      </c>
      <c r="G11" s="11" t="s">
        <v>167</v>
      </c>
      <c r="H11" s="11" t="s">
        <v>37</v>
      </c>
      <c r="I11" s="12" t="s">
        <v>196</v>
      </c>
    </row>
    <row r="12" customFormat="false" ht="48" hidden="false" customHeight="true" outlineLevel="0" collapsed="false">
      <c r="A12" s="16" t="s">
        <v>39</v>
      </c>
      <c r="B12" s="16" t="s">
        <v>197</v>
      </c>
      <c r="C12" s="17" t="s">
        <v>198</v>
      </c>
      <c r="D12" s="16" t="s">
        <v>199</v>
      </c>
      <c r="E12" s="16" t="s">
        <v>166</v>
      </c>
      <c r="F12" s="16" t="s">
        <v>167</v>
      </c>
      <c r="G12" s="16" t="s">
        <v>167</v>
      </c>
      <c r="H12" s="16" t="s">
        <v>37</v>
      </c>
      <c r="I12" s="17" t="s">
        <v>200</v>
      </c>
    </row>
    <row r="13" customFormat="false" ht="31.5" hidden="false" customHeight="true" outlineLevel="0" collapsed="false">
      <c r="A13" s="11" t="s">
        <v>49</v>
      </c>
      <c r="B13" s="11" t="s">
        <v>201</v>
      </c>
      <c r="C13" s="12" t="s">
        <v>202</v>
      </c>
      <c r="D13" s="11" t="s">
        <v>203</v>
      </c>
      <c r="E13" s="11" t="s">
        <v>204</v>
      </c>
      <c r="F13" s="11" t="s">
        <v>172</v>
      </c>
      <c r="G13" s="11" t="s">
        <v>167</v>
      </c>
      <c r="H13" s="11" t="n">
        <v>5</v>
      </c>
      <c r="I13" s="12" t="s">
        <v>205</v>
      </c>
    </row>
    <row r="14" customFormat="false" ht="31.5" hidden="false" customHeight="true" outlineLevel="0" collapsed="false">
      <c r="A14" s="16" t="s">
        <v>60</v>
      </c>
      <c r="B14" s="16" t="s">
        <v>206</v>
      </c>
      <c r="C14" s="17" t="s">
        <v>207</v>
      </c>
      <c r="D14" s="16" t="s">
        <v>208</v>
      </c>
      <c r="E14" s="16" t="s">
        <v>209</v>
      </c>
      <c r="F14" s="16" t="s">
        <v>167</v>
      </c>
      <c r="G14" s="16" t="s">
        <v>167</v>
      </c>
      <c r="H14" s="16" t="n">
        <v>13</v>
      </c>
      <c r="I14" s="17" t="s">
        <v>210</v>
      </c>
    </row>
    <row r="15" customFormat="false" ht="31.5" hidden="false" customHeight="true" outlineLevel="0" collapsed="false">
      <c r="A15" s="16" t="s">
        <v>63</v>
      </c>
      <c r="B15" s="16" t="s">
        <v>211</v>
      </c>
      <c r="C15" s="17" t="s">
        <v>212</v>
      </c>
      <c r="D15" s="16" t="s">
        <v>213</v>
      </c>
      <c r="E15" s="16" t="s">
        <v>214</v>
      </c>
      <c r="F15" s="16" t="s">
        <v>167</v>
      </c>
      <c r="G15" s="16" t="s">
        <v>167</v>
      </c>
      <c r="H15" s="16" t="n">
        <v>13</v>
      </c>
      <c r="I15" s="17" t="s">
        <v>215</v>
      </c>
    </row>
    <row r="16" customFormat="false" ht="15.75" hidden="false" customHeight="true" outlineLevel="0" collapsed="false">
      <c r="A16" s="16" t="s">
        <v>66</v>
      </c>
      <c r="B16" s="16" t="s">
        <v>216</v>
      </c>
      <c r="C16" s="17" t="s">
        <v>217</v>
      </c>
      <c r="D16" s="16" t="s">
        <v>218</v>
      </c>
      <c r="E16" s="16" t="s">
        <v>166</v>
      </c>
      <c r="F16" s="16" t="s">
        <v>167</v>
      </c>
      <c r="G16" s="16" t="s">
        <v>167</v>
      </c>
      <c r="H16" s="16" t="s">
        <v>37</v>
      </c>
      <c r="I16" s="17" t="s">
        <v>219</v>
      </c>
    </row>
    <row r="17" customFormat="false" ht="31.5" hidden="false" customHeight="true" outlineLevel="0" collapsed="false">
      <c r="A17" s="16" t="s">
        <v>77</v>
      </c>
      <c r="B17" s="16" t="s">
        <v>220</v>
      </c>
      <c r="C17" s="17" t="s">
        <v>221</v>
      </c>
      <c r="D17" s="16" t="s">
        <v>222</v>
      </c>
      <c r="E17" s="16" t="s">
        <v>223</v>
      </c>
      <c r="F17" s="16" t="s">
        <v>167</v>
      </c>
      <c r="G17" s="16" t="s">
        <v>167</v>
      </c>
      <c r="H17" s="16" t="n">
        <v>13</v>
      </c>
      <c r="I17" s="17" t="s">
        <v>224</v>
      </c>
    </row>
    <row r="18" customFormat="false" ht="15.75" hidden="false" customHeight="true" outlineLevel="0" collapsed="false">
      <c r="A18" s="11" t="s">
        <v>84</v>
      </c>
      <c r="B18" s="11" t="s">
        <v>225</v>
      </c>
      <c r="C18" s="12" t="s">
        <v>226</v>
      </c>
      <c r="D18" s="11" t="s">
        <v>227</v>
      </c>
      <c r="E18" s="11" t="s">
        <v>204</v>
      </c>
      <c r="F18" s="11" t="s">
        <v>167</v>
      </c>
      <c r="G18" s="11" t="s">
        <v>172</v>
      </c>
      <c r="H18" s="11" t="n">
        <v>3</v>
      </c>
      <c r="I18" s="12" t="s">
        <v>228</v>
      </c>
    </row>
    <row r="19" customFormat="false" ht="15.75" hidden="false" customHeight="true" outlineLevel="0" collapsed="false">
      <c r="A19" s="11" t="s">
        <v>98</v>
      </c>
      <c r="B19" s="11" t="s">
        <v>229</v>
      </c>
      <c r="C19" s="12" t="s">
        <v>230</v>
      </c>
      <c r="D19" s="11" t="s">
        <v>231</v>
      </c>
      <c r="E19" s="11" t="s">
        <v>232</v>
      </c>
      <c r="F19" s="11" t="s">
        <v>167</v>
      </c>
      <c r="G19" s="11" t="s">
        <v>172</v>
      </c>
      <c r="H19" s="11" t="n">
        <v>4</v>
      </c>
      <c r="I19" s="12" t="s">
        <v>233</v>
      </c>
    </row>
    <row r="20" customFormat="false" ht="31.5" hidden="false" customHeight="true" outlineLevel="0" collapsed="false">
      <c r="A20" s="11" t="s">
        <v>65</v>
      </c>
      <c r="B20" s="11" t="s">
        <v>234</v>
      </c>
      <c r="C20" s="12" t="s">
        <v>235</v>
      </c>
      <c r="D20" s="11" t="s">
        <v>236</v>
      </c>
      <c r="E20" s="11" t="s">
        <v>237</v>
      </c>
      <c r="F20" s="11" t="s">
        <v>167</v>
      </c>
      <c r="G20" s="11" t="s">
        <v>172</v>
      </c>
      <c r="H20" s="11" t="n">
        <v>3</v>
      </c>
      <c r="I20" s="12" t="s">
        <v>238</v>
      </c>
    </row>
    <row r="21" customFormat="false" ht="54.75" hidden="false" customHeight="true" outlineLevel="0" collapsed="false">
      <c r="A21" s="11" t="s">
        <v>105</v>
      </c>
      <c r="B21" s="11" t="s">
        <v>234</v>
      </c>
      <c r="C21" s="12" t="s">
        <v>239</v>
      </c>
      <c r="D21" s="11" t="s">
        <v>236</v>
      </c>
      <c r="E21" s="11" t="s">
        <v>237</v>
      </c>
      <c r="F21" s="11" t="s">
        <v>167</v>
      </c>
      <c r="G21" s="11" t="s">
        <v>172</v>
      </c>
      <c r="H21" s="11" t="n">
        <v>2</v>
      </c>
      <c r="I21" s="12" t="s">
        <v>240</v>
      </c>
    </row>
    <row r="22" customFormat="false" ht="27.75" hidden="false" customHeight="true" outlineLevel="0" collapsed="false">
      <c r="A22" s="11" t="s">
        <v>109</v>
      </c>
      <c r="B22" s="11" t="s">
        <v>234</v>
      </c>
      <c r="C22" s="12" t="s">
        <v>241</v>
      </c>
      <c r="D22" s="11" t="s">
        <v>236</v>
      </c>
      <c r="E22" s="11" t="s">
        <v>237</v>
      </c>
      <c r="F22" s="11" t="s">
        <v>167</v>
      </c>
      <c r="G22" s="11" t="s">
        <v>172</v>
      </c>
      <c r="H22" s="11" t="n">
        <v>4</v>
      </c>
      <c r="I22" s="12" t="s">
        <v>242</v>
      </c>
    </row>
    <row r="23" customFormat="false" ht="41.25" hidden="false" customHeight="true" outlineLevel="0" collapsed="false">
      <c r="A23" s="16" t="s">
        <v>91</v>
      </c>
      <c r="B23" s="16" t="s">
        <v>243</v>
      </c>
      <c r="C23" s="17" t="s">
        <v>244</v>
      </c>
      <c r="D23" s="16" t="s">
        <v>245</v>
      </c>
      <c r="E23" s="16" t="s">
        <v>166</v>
      </c>
      <c r="F23" s="16" t="s">
        <v>167</v>
      </c>
      <c r="G23" s="16" t="s">
        <v>167</v>
      </c>
      <c r="H23" s="16" t="n">
        <v>1</v>
      </c>
      <c r="I23" s="17" t="s">
        <v>246</v>
      </c>
    </row>
    <row r="24" customFormat="false" ht="41.25" hidden="false" customHeight="true" outlineLevel="0" collapsed="false">
      <c r="A24" s="16" t="s">
        <v>132</v>
      </c>
      <c r="B24" s="16" t="s">
        <v>247</v>
      </c>
      <c r="C24" s="17" t="s">
        <v>248</v>
      </c>
      <c r="D24" s="16" t="s">
        <v>249</v>
      </c>
      <c r="E24" s="16" t="s">
        <v>237</v>
      </c>
      <c r="F24" s="16" t="s">
        <v>167</v>
      </c>
      <c r="G24" s="16" t="s">
        <v>167</v>
      </c>
      <c r="H24" s="16" t="s">
        <v>37</v>
      </c>
      <c r="I24" s="17" t="s">
        <v>250</v>
      </c>
    </row>
    <row r="25" customFormat="false" ht="41.25" hidden="false" customHeight="true" outlineLevel="0" collapsed="false">
      <c r="A25" s="16" t="s">
        <v>136</v>
      </c>
      <c r="B25" s="16" t="s">
        <v>251</v>
      </c>
      <c r="C25" s="17" t="s">
        <v>252</v>
      </c>
      <c r="D25" s="16" t="s">
        <v>253</v>
      </c>
      <c r="E25" s="16" t="s">
        <v>166</v>
      </c>
      <c r="F25" s="16" t="s">
        <v>167</v>
      </c>
      <c r="G25" s="16" t="s">
        <v>167</v>
      </c>
      <c r="H25" s="16" t="s">
        <v>16</v>
      </c>
      <c r="I25" s="17" t="s">
        <v>254</v>
      </c>
    </row>
    <row r="26" customFormat="false" ht="41.25" hidden="false" customHeight="true" outlineLevel="0" collapsed="false">
      <c r="A26" s="16" t="s">
        <v>145</v>
      </c>
      <c r="B26" s="16" t="s">
        <v>255</v>
      </c>
      <c r="C26" s="17" t="s">
        <v>256</v>
      </c>
      <c r="D26" s="16" t="s">
        <v>257</v>
      </c>
      <c r="E26" s="16" t="s">
        <v>258</v>
      </c>
      <c r="F26" s="16" t="s">
        <v>167</v>
      </c>
      <c r="G26" s="16" t="s">
        <v>172</v>
      </c>
      <c r="H26" s="16" t="s">
        <v>37</v>
      </c>
      <c r="I26" s="17" t="s">
        <v>259</v>
      </c>
    </row>
    <row r="27" customFormat="false" ht="41.25" hidden="false" customHeight="true" outlineLevel="0" collapsed="false">
      <c r="A27" s="16" t="s">
        <v>139</v>
      </c>
      <c r="B27" s="16" t="s">
        <v>251</v>
      </c>
      <c r="C27" s="17" t="s">
        <v>260</v>
      </c>
      <c r="D27" s="16" t="s">
        <v>253</v>
      </c>
      <c r="E27" s="16" t="s">
        <v>166</v>
      </c>
      <c r="F27" s="16" t="s">
        <v>167</v>
      </c>
      <c r="G27" s="16" t="s">
        <v>167</v>
      </c>
      <c r="H27" s="16" t="s">
        <v>37</v>
      </c>
      <c r="I27" s="17" t="s">
        <v>261</v>
      </c>
    </row>
    <row r="28" customFormat="false" ht="41.25" hidden="false" customHeight="true" outlineLevel="0" collapsed="false">
      <c r="A28" s="16" t="s">
        <v>142</v>
      </c>
      <c r="B28" s="16" t="s">
        <v>247</v>
      </c>
      <c r="C28" s="17" t="s">
        <v>262</v>
      </c>
      <c r="D28" s="16" t="s">
        <v>263</v>
      </c>
      <c r="E28" s="16" t="s">
        <v>237</v>
      </c>
      <c r="F28" s="16" t="s">
        <v>167</v>
      </c>
      <c r="G28" s="16" t="s">
        <v>167</v>
      </c>
      <c r="H28" s="16" t="s">
        <v>37</v>
      </c>
      <c r="I28" s="17"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9" activeCellId="0" sqref="E19"/>
    </sheetView>
  </sheetViews>
  <sheetFormatPr defaultColWidth="8.66796875" defaultRowHeight="15" zeroHeight="false" outlineLevelRow="0" outlineLevelCol="0"/>
  <cols>
    <col collapsed="false" customWidth="true" hidden="false" outlineLevel="0" max="1" min="1" style="1" width="26"/>
    <col collapsed="false" customWidth="true" hidden="false" outlineLevel="0" max="2" min="2" style="1" width="56"/>
    <col collapsed="false" customWidth="true" hidden="false" outlineLevel="0" max="3" min="3" style="1" width="12"/>
    <col collapsed="false" customWidth="true" hidden="false" outlineLevel="0" max="4" min="4" style="1" width="16"/>
    <col collapsed="false" customWidth="true" hidden="false" outlineLevel="0" max="5" min="5" style="1" width="21.67"/>
    <col collapsed="false" customWidth="true" hidden="false" outlineLevel="0" max="6" min="6" style="1" width="16"/>
  </cols>
  <sheetData>
    <row r="1" customFormat="false" ht="21" hidden="false" customHeight="true" outlineLevel="0" collapsed="false">
      <c r="A1" s="2" t="s">
        <v>265</v>
      </c>
    </row>
    <row r="3" customFormat="false" ht="15" hidden="false" customHeight="true" outlineLevel="0" collapsed="false">
      <c r="A3" s="3" t="s">
        <v>266</v>
      </c>
    </row>
    <row r="4" customFormat="false" ht="15" hidden="false" customHeight="true" outlineLevel="0" collapsed="false">
      <c r="A4" s="6" t="s">
        <v>267</v>
      </c>
      <c r="B4" s="6" t="s">
        <v>268</v>
      </c>
      <c r="C4" s="6" t="s">
        <v>269</v>
      </c>
      <c r="D4" s="6" t="s">
        <v>270</v>
      </c>
      <c r="E4" s="6" t="s">
        <v>271</v>
      </c>
    </row>
    <row r="5" customFormat="false" ht="30" hidden="false" customHeight="true" outlineLevel="0" collapsed="false">
      <c r="A5" s="38" t="s">
        <v>272</v>
      </c>
      <c r="B5" s="38" t="s">
        <v>273</v>
      </c>
      <c r="C5" s="38" t="s">
        <v>16</v>
      </c>
      <c r="D5" s="38" t="s">
        <v>274</v>
      </c>
      <c r="E5" s="38" t="s">
        <v>275</v>
      </c>
    </row>
    <row r="6" customFormat="false" ht="15.75" hidden="false" customHeight="true" outlineLevel="0" collapsed="false">
      <c r="A6" s="12" t="s">
        <v>276</v>
      </c>
      <c r="B6" s="12" t="s">
        <v>277</v>
      </c>
      <c r="C6" s="12" t="s">
        <v>29</v>
      </c>
      <c r="D6" s="39" t="s">
        <v>278</v>
      </c>
      <c r="E6" s="40" t="s">
        <v>279</v>
      </c>
    </row>
    <row r="7" customFormat="false" ht="15.75" hidden="false" customHeight="true" outlineLevel="0" collapsed="false">
      <c r="A7" s="12" t="s">
        <v>280</v>
      </c>
      <c r="B7" s="12" t="s">
        <v>281</v>
      </c>
      <c r="C7" s="12" t="s">
        <v>29</v>
      </c>
      <c r="D7" s="39" t="s">
        <v>282</v>
      </c>
      <c r="E7" s="40" t="s">
        <v>283</v>
      </c>
    </row>
    <row r="8" customFormat="false" ht="15.75" hidden="false" customHeight="true" outlineLevel="0" collapsed="false">
      <c r="A8" s="12" t="s">
        <v>54</v>
      </c>
      <c r="B8" s="12" t="s">
        <v>284</v>
      </c>
      <c r="C8" s="12" t="s">
        <v>29</v>
      </c>
      <c r="D8" s="39" t="s">
        <v>285</v>
      </c>
      <c r="E8" s="40" t="s">
        <v>286</v>
      </c>
    </row>
    <row r="9" customFormat="false" ht="15.75" hidden="false" customHeight="true" outlineLevel="0" collapsed="false">
      <c r="A9" s="12" t="s">
        <v>287</v>
      </c>
      <c r="B9" s="12" t="s">
        <v>288</v>
      </c>
      <c r="C9" s="12" t="s">
        <v>289</v>
      </c>
      <c r="D9" s="39" t="s">
        <v>290</v>
      </c>
      <c r="E9" s="39"/>
    </row>
    <row r="10" customFormat="false" ht="15.75" hidden="false" customHeight="true" outlineLevel="0" collapsed="false">
      <c r="A10" s="12" t="s">
        <v>291</v>
      </c>
      <c r="B10" s="12" t="s">
        <v>292</v>
      </c>
      <c r="C10" s="12" t="s">
        <v>289</v>
      </c>
      <c r="D10" s="39"/>
      <c r="E10" s="39"/>
    </row>
    <row r="11" customFormat="false" ht="15.75" hidden="false" customHeight="true" outlineLevel="0" collapsed="false">
      <c r="A11" s="12" t="s">
        <v>293</v>
      </c>
      <c r="B11" s="12" t="s">
        <v>292</v>
      </c>
      <c r="C11" s="12" t="s">
        <v>289</v>
      </c>
      <c r="D11" s="39"/>
      <c r="E11" s="39"/>
    </row>
    <row r="12" customFormat="false" ht="15.75" hidden="false" customHeight="true" outlineLevel="0" collapsed="false">
      <c r="A12" s="12" t="s">
        <v>294</v>
      </c>
      <c r="B12" s="12" t="s">
        <v>292</v>
      </c>
      <c r="C12" s="12" t="s">
        <v>289</v>
      </c>
      <c r="D12" s="39"/>
      <c r="E12" s="39"/>
    </row>
    <row r="13" customFormat="false" ht="15.75" hidden="false" customHeight="true" outlineLevel="0" collapsed="false">
      <c r="A13" s="12" t="s">
        <v>20</v>
      </c>
      <c r="B13" s="12" t="s">
        <v>295</v>
      </c>
      <c r="C13" s="12" t="s">
        <v>289</v>
      </c>
      <c r="D13" s="39"/>
      <c r="E13" s="39"/>
    </row>
    <row r="14" customFormat="false" ht="15.75" hidden="false" customHeight="true" outlineLevel="0" collapsed="false">
      <c r="A14" s="12" t="s">
        <v>57</v>
      </c>
      <c r="B14" s="12" t="s">
        <v>296</v>
      </c>
      <c r="C14" s="12" t="s">
        <v>57</v>
      </c>
      <c r="D14" s="39" t="s">
        <v>297</v>
      </c>
      <c r="E14" s="39"/>
    </row>
    <row r="17" customFormat="false" ht="15" hidden="false" customHeight="true" outlineLevel="0" collapsed="false">
      <c r="A17" s="3" t="s">
        <v>298</v>
      </c>
    </row>
    <row r="18" customFormat="false" ht="15" hidden="false" customHeight="true" outlineLevel="0" collapsed="false">
      <c r="A18" s="41" t="s">
        <v>299</v>
      </c>
    </row>
    <row r="19" customFormat="false" ht="15" hidden="false" customHeight="true" outlineLevel="0" collapsed="false">
      <c r="A19" s="41" t="s">
        <v>300</v>
      </c>
    </row>
    <row r="20" customFormat="false" ht="15" hidden="false" customHeight="true" outlineLevel="0" collapsed="false">
      <c r="A20" s="41" t="s">
        <v>301</v>
      </c>
    </row>
    <row r="21" customFormat="false" ht="15" hidden="false" customHeight="true" outlineLevel="0" collapsed="false">
      <c r="A21" s="41" t="s">
        <v>302</v>
      </c>
    </row>
    <row r="22" customFormat="false" ht="15" hidden="false" customHeight="true" outlineLevel="0" collapsed="false">
      <c r="A22" s="41" t="s">
        <v>303</v>
      </c>
    </row>
    <row r="23" customFormat="false" ht="15" hidden="false" customHeight="true" outlineLevel="0" collapsed="false">
      <c r="A23" s="41" t="s">
        <v>304</v>
      </c>
    </row>
    <row r="24" customFormat="false" ht="15" hidden="false" customHeight="true" outlineLevel="0" collapsed="false">
      <c r="A24" s="41" t="s">
        <v>305</v>
      </c>
    </row>
    <row r="25" customFormat="false" ht="15" hidden="false" customHeight="true" outlineLevel="0" collapsed="false">
      <c r="A25" s="41" t="s">
        <v>306</v>
      </c>
    </row>
    <row r="26" customFormat="false" ht="15" hidden="false" customHeight="true" outlineLevel="0" collapsed="false">
      <c r="A26" s="41" t="s">
        <v>307</v>
      </c>
    </row>
    <row r="28" customFormat="false" ht="15" hidden="false" customHeight="true" outlineLevel="0" collapsed="false">
      <c r="A28" s="3" t="s">
        <v>308</v>
      </c>
    </row>
    <row r="29" customFormat="false" ht="15" hidden="false" customHeight="true" outlineLevel="0" collapsed="false">
      <c r="A29" s="41" t="s">
        <v>309</v>
      </c>
    </row>
    <row r="30" customFormat="false" ht="15" hidden="false" customHeight="true" outlineLevel="0" collapsed="false">
      <c r="A30" s="1" t="s">
        <v>310</v>
      </c>
    </row>
    <row r="31" customFormat="false" ht="15" hidden="false" customHeight="true" outlineLevel="0" collapsed="false">
      <c r="A31" s="41" t="s">
        <v>311</v>
      </c>
    </row>
    <row r="32" customFormat="false" ht="15" hidden="false" customHeight="true" outlineLevel="0" collapsed="false">
      <c r="A32" s="41" t="s">
        <v>312</v>
      </c>
    </row>
    <row r="33" customFormat="false" ht="15" hidden="false" customHeight="true" outlineLevel="0" collapsed="false">
      <c r="A33" s="41" t="s">
        <v>313</v>
      </c>
    </row>
    <row r="34" customFormat="false" ht="15" hidden="false" customHeight="true" outlineLevel="0" collapsed="false">
      <c r="A34" s="41" t="s">
        <v>314</v>
      </c>
    </row>
    <row r="35" customFormat="false" ht="15" hidden="false" customHeight="true" outlineLevel="0" collapsed="false"/>
    <row r="36" customFormat="false" ht="15" hidden="false" customHeight="true" outlineLevel="0" collapsed="false">
      <c r="A36" s="3" t="s">
        <v>315</v>
      </c>
    </row>
    <row r="37" customFormat="false" ht="15" hidden="false" customHeight="true" outlineLevel="0" collapsed="false">
      <c r="A37" s="6" t="s">
        <v>316</v>
      </c>
      <c r="B37" s="6" t="s">
        <v>317</v>
      </c>
      <c r="C37" s="6" t="s">
        <v>318</v>
      </c>
      <c r="D37" s="6" t="s">
        <v>276</v>
      </c>
      <c r="E37" s="6" t="s">
        <v>280</v>
      </c>
      <c r="F37" s="6" t="s">
        <v>54</v>
      </c>
    </row>
    <row r="38" customFormat="false" ht="15" hidden="false" customHeight="true" outlineLevel="0" collapsed="false">
      <c r="A38" s="16" t="s">
        <v>27</v>
      </c>
      <c r="B38" s="17" t="s">
        <v>319</v>
      </c>
      <c r="C38" s="23" t="n">
        <v>46252</v>
      </c>
      <c r="D38" s="42"/>
      <c r="E38" s="43"/>
      <c r="F38" s="43"/>
    </row>
    <row r="39" customFormat="false" ht="15" hidden="false" customHeight="true" outlineLevel="0" collapsed="false">
      <c r="A39" s="16" t="s">
        <v>44</v>
      </c>
      <c r="B39" s="17" t="s">
        <v>320</v>
      </c>
      <c r="C39" s="42"/>
      <c r="D39" s="42"/>
      <c r="E39" s="43"/>
      <c r="F39" s="43"/>
    </row>
    <row r="40" customFormat="false" ht="15" hidden="false" customHeight="true" outlineLevel="0" collapsed="false">
      <c r="A40" s="16" t="s">
        <v>70</v>
      </c>
      <c r="B40" s="17" t="s">
        <v>321</v>
      </c>
      <c r="C40" s="23" t="n">
        <v>46319</v>
      </c>
      <c r="D40" s="42"/>
      <c r="E40" s="43"/>
      <c r="F40" s="43"/>
    </row>
    <row r="41" customFormat="false" ht="15" hidden="false" customHeight="true" outlineLevel="0" collapsed="false">
      <c r="A41" s="16" t="s">
        <v>73</v>
      </c>
      <c r="B41" s="17" t="s">
        <v>322</v>
      </c>
      <c r="C41" s="23" t="n">
        <v>46317</v>
      </c>
      <c r="D41" s="42"/>
      <c r="E41" s="43"/>
      <c r="F41" s="43"/>
    </row>
    <row r="42" customFormat="false" ht="15" hidden="false" customHeight="true" outlineLevel="0" collapsed="false">
      <c r="A42" s="16" t="s">
        <v>81</v>
      </c>
      <c r="B42" s="17" t="s">
        <v>323</v>
      </c>
      <c r="C42" s="16"/>
      <c r="D42" s="16"/>
    </row>
    <row r="43" customFormat="false" ht="15" hidden="false" customHeight="true" outlineLevel="0" collapsed="false">
      <c r="A43" s="16" t="s">
        <v>93</v>
      </c>
      <c r="B43" s="17" t="s">
        <v>324</v>
      </c>
      <c r="C43" s="42"/>
      <c r="D43" s="42"/>
      <c r="E43" s="43"/>
      <c r="F43" s="43"/>
    </row>
    <row r="44" customFormat="false" ht="15" hidden="false" customHeight="true" outlineLevel="0" collapsed="false"/>
    <row r="45" customFormat="false" ht="15" hidden="false" customHeight="true" outlineLevel="0" collapsed="false">
      <c r="A45" s="3" t="s">
        <v>325</v>
      </c>
    </row>
    <row r="46" customFormat="false" ht="15" hidden="false" customHeight="true" outlineLevel="0" collapsed="false">
      <c r="A46" s="41" t="s">
        <v>326</v>
      </c>
    </row>
    <row r="47" customFormat="false" ht="15" hidden="false" customHeight="true" outlineLevel="0" collapsed="false">
      <c r="A47" s="41" t="s">
        <v>327</v>
      </c>
    </row>
    <row r="48" customFormat="false" ht="15" hidden="false" customHeight="true" outlineLevel="0" collapsed="false">
      <c r="A48" s="41" t="s">
        <v>328</v>
      </c>
    </row>
    <row r="49" customFormat="false" ht="15" hidden="false" customHeight="true" outlineLevel="0" collapsed="false">
      <c r="A49" s="41" t="s">
        <v>329</v>
      </c>
    </row>
    <row r="50" customFormat="false" ht="15" hidden="false" customHeight="true" outlineLevel="0" collapsed="false">
      <c r="A50" s="41" t="s">
        <v>330</v>
      </c>
    </row>
    <row r="51" customFormat="false" ht="15" hidden="false" customHeight="true" outlineLevel="0" collapsed="false">
      <c r="A51" s="1" t="s">
        <v>331</v>
      </c>
    </row>
    <row r="52" customFormat="false" ht="15" hidden="false" customHeight="true" outlineLevel="0" collapsed="false">
      <c r="A52" s="1" t="s">
        <v>332</v>
      </c>
    </row>
    <row r="53" customFormat="false" ht="15" hidden="false" customHeight="true" outlineLevel="0" collapsed="false">
      <c r="A53" s="1" t="s">
        <v>333</v>
      </c>
    </row>
  </sheetData>
  <hyperlinks>
    <hyperlink ref="E6" r:id="rId1" display="larakriek@gmail.com"/>
    <hyperlink ref="E7" r:id="rId2" display="neels.kriek@gmail.com"/>
    <hyperlink ref="E8" r:id="rId3" display="ryanbishop23@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2026-07-13T19:19:38Z</dcterms:created>
  <dc:creator>openpyxl</dc:creator>
  <dc:description/>
  <dc:language>en-US</dc:language>
  <cp:lastModifiedBy>Ryan Bishop (rsb1e25)</cp:lastModifiedBy>
  <dcterms:modified xsi:type="dcterms:W3CDTF">2026-10-30T21:28:57Z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