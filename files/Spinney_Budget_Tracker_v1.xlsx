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st Lines" sheetId="2" state="visible" r:id="rId4"/>
    <sheet name="Invoice Register" sheetId="3" state="visible" r:id="rId5"/>
    <sheet name="Contingency Drawdow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<sst xmlns="http://schemas.openxmlformats.org/spreadsheetml/2006/main" count="183" uniqueCount="95">
  <si>
    <t xml:space="preserve">Spinney External Works — Budget Summary</t>
  </si>
  <si>
    <t xml:space="preserve">Last updated:</t>
  </si>
  <si>
    <t xml:space="preserve">All figures gross (as payable). Invoiced / Paid pull automatically from the Invoice Register; Contingency remaining pulls from the Drawdown sheet.</t>
  </si>
  <si>
    <t xml:space="preserve">Cost centre</t>
  </si>
  <si>
    <t xml:space="preserve">Supplier</t>
  </si>
  <si>
    <t xml:space="preserve">Committed £</t>
  </si>
  <si>
    <t xml:space="preserve">Invoiced £</t>
  </si>
  <si>
    <t xml:space="preserve">Paid £</t>
  </si>
  <si>
    <t xml:space="preserve">Remaining vs committed £</t>
  </si>
  <si>
    <t xml:space="preserve">Notes</t>
  </si>
  <si>
    <t xml:space="preserve">Decking materials</t>
  </si>
  <si>
    <t xml:space="preserve">V4 Wood Flooring Ltd</t>
  </si>
  <si>
    <t xml:space="preserve">Order amended to all Ashwood + flexible bullnose (1 Jul). PAID IN FULL 9 Jul, ref V4FQ-15584. 25% restocking on over-ordering — unlikely given curved design + offcuts project, but noted.</t>
  </si>
  <si>
    <t xml:space="preserve">Decking labour &amp; rubbish</t>
  </si>
  <si>
    <t xml:space="preserve">LG Building and Roofing Ltd</t>
  </si>
  <si>
    <t xml:space="preserve">£17,600 labour (no VAT) + £1,200 rubbish removal. RISK: price 'fairly accurate' pending Luke's structure/ground assessment.</t>
  </si>
  <si>
    <t xml:space="preserve">Contingency</t>
  </si>
  <si>
    <t xml:space="preserve">—</t>
  </si>
  <si>
    <t xml:space="preserve">Covers: fence move/repair labour; soakaway fix before decking; drainage by garage; extra curved-decking labour; cement &amp; bricks. See Contingency Drawdown sheet.</t>
  </si>
  <si>
    <t xml:space="preserve">Chimney repair</t>
  </si>
  <si>
    <t xml:space="preserve">Quoted separately (2 Jun). £3,200 labour no VAT; scaffolding £1,500 and materials £480 paid directly; £80 rubbish.</t>
  </si>
  <si>
    <t xml:space="preserve">Coping stones repair</t>
  </si>
  <si>
    <t xml:space="preserve">Quoted separately (3 Jun). RISK: damage to coping stones on removal could substantially increase cost.</t>
  </si>
  <si>
    <t xml:space="preserve">Core project (Luke's ~£56,800 outline)</t>
  </si>
  <si>
    <t xml:space="preserve">Quoted separately (chimney + coping)</t>
  </si>
  <si>
    <t xml:space="preserve">PROJECT TOTAL</t>
  </si>
  <si>
    <t xml:space="preserve">Contingency remaining:</t>
  </si>
  <si>
    <t xml:space="preserve">Cost Lines — every line item from LG estimates and the V4 invoice</t>
  </si>
  <si>
    <t xml:space="preserve">Source documents: LG chimney estimate 2 Jun 2026 · LG coping estimate 3 Jun 2026 · LG decking estimate 3 Jun 2026 · V4 invoice V4FQ-15584, 9 Jul 2026.</t>
  </si>
  <si>
    <t xml:space="preserve">Line item</t>
  </si>
  <si>
    <t xml:space="preserve">Qty</t>
  </si>
  <si>
    <t xml:space="preserve">Unit £</t>
  </si>
  <si>
    <t xml:space="preserve">Line total £</t>
  </si>
  <si>
    <t xml:space="preserve">VAT</t>
  </si>
  <si>
    <t xml:space="preserve">Payment route</t>
  </si>
  <si>
    <t xml:space="preserve">LG Building</t>
  </si>
  <si>
    <t xml:space="preserve">Labour — remove render, k-rend sealer, base + top coat, render crown, storm-dry cream</t>
  </si>
  <si>
    <t xml:space="preserve">No VAT</t>
  </si>
  <si>
    <t xml:space="preserve">LG invoice</t>
  </si>
  <si>
    <t xml:space="preserve">Scaffolder (direct)</t>
  </si>
  <si>
    <t xml:space="preserve">Tubular scaffolding — all four sides of chimney and crown</t>
  </si>
  <si>
    <t xml:space="preserve">Inc VAT</t>
  </si>
  <si>
    <t xml:space="preserve">Paid directly</t>
  </si>
  <si>
    <t xml:space="preserve">Merchant (direct)</t>
  </si>
  <si>
    <t xml:space="preserve">Materials</t>
  </si>
  <si>
    <t xml:space="preserve">Rubbish removal</t>
  </si>
  <si>
    <t xml:space="preserve">Labour — remove/reset copings, slate cap, render, lead flashings to parapet rear</t>
  </si>
  <si>
    <t xml:space="preserve">RISK: stone damage on removal could substantially increase cost</t>
  </si>
  <si>
    <t xml:space="preserve">Tubular scaffolding with winch system</t>
  </si>
  <si>
    <t xml:space="preserve">Labour — remove old decking &amp; frame, construct composite frame, install deck to spec</t>
  </si>
  <si>
    <t xml:space="preserve">RISK: pending structure/ground assessment</t>
  </si>
  <si>
    <t xml:space="preserve">Rubbish removal (8-yard skips ×2, possibly 3)</t>
  </si>
  <si>
    <t xml:space="preserve">V4 Wood Flooring</t>
  </si>
  <si>
    <t xml:space="preserve">Millboard Ashwood 176mm Moulded Lastane (144.90 m²)</t>
  </si>
  <si>
    <t xml:space="preserve">In net</t>
  </si>
  <si>
    <t xml:space="preserve">V4 invoice — PAID</t>
  </si>
  <si>
    <t xml:space="preserve">Millboard Ashwood Moulded Lastane — MFN360H</t>
  </si>
  <si>
    <t xml:space="preserve">Millboard Ashwood Moulded Lastane — MEBB360H (flexible bullnose)</t>
  </si>
  <si>
    <t xml:space="preserve">For curved upper level</t>
  </si>
  <si>
    <t xml:space="preserve">Millboard Step Edge — Ashwood Moulded Lastane</t>
  </si>
  <si>
    <t xml:space="preserve">Stainless steel screws 45mm — boxes</t>
  </si>
  <si>
    <t xml:space="preserve">Durafix Trimhead 35mm SS screws — box of 100 (FT35P100)</t>
  </si>
  <si>
    <t xml:space="preserve">Plas-Pro bearer/joist black 3.0m 50×125mm composite (P1205B300)</t>
  </si>
  <si>
    <t xml:space="preserve">Subframe — the bulk of the tonnage</t>
  </si>
  <si>
    <t xml:space="preserve">Subframe hexhead screws — box of 50 (FH90P050)</t>
  </si>
  <si>
    <t xml:space="preserve">Millboard touch-up paint — Ashwood (AP500H)</t>
  </si>
  <si>
    <t xml:space="preserve">Millboard multi-spacer — pack of 10 (FP36P010)</t>
  </si>
  <si>
    <t xml:space="preserve">VAT on order</t>
  </si>
  <si>
    <t xml:space="preserve">Net £26,857.49 + VAT = £32,228.99</t>
  </si>
  <si>
    <t xml:space="preserve">TBC</t>
  </si>
  <si>
    <t xml:space="preserve">Contingency pot — fence labour, soakaway fix, garage drainage, curved-deck labour, cement &amp; bricks</t>
  </si>
  <si>
    <t xml:space="preserve">As incurred</t>
  </si>
  <si>
    <t xml:space="preserve">Track on Contingency Drawdown sheet</t>
  </si>
  <si>
    <t xml:space="preserve">TOTAL (all lines)</t>
  </si>
  <si>
    <t xml:space="preserve">Invoice &amp; Payment Register — add a row per invoice received</t>
  </si>
  <si>
    <t xml:space="preserve">Yellow cells are inputs. Cost centre must match the Summary sheet names exactly (dropdown-free by design — copy from row 5). Paid date empty = outstanding.</t>
  </si>
  <si>
    <t xml:space="preserve">Invoice date</t>
  </si>
  <si>
    <t xml:space="preserve">Reference</t>
  </si>
  <si>
    <t xml:space="preserve">Description</t>
  </si>
  <si>
    <t xml:space="preserve">Amount £ (gross)</t>
  </si>
  <si>
    <t xml:space="preserve">Paid date</t>
  </si>
  <si>
    <t xml:space="preserve">Method</t>
  </si>
  <si>
    <t xml:space="preserve">V4FQ-15584</t>
  </si>
  <si>
    <t xml:space="preserve">Millboard Ashwood decking + Plas-Pro subframe, fixings (144.9 m²)</t>
  </si>
  <si>
    <t xml:space="preserve">Amex</t>
  </si>
  <si>
    <t xml:space="preserve">Paid in full at order</t>
  </si>
  <si>
    <t xml:space="preserve">Contingency Drawdown — £5,000 pot (agreed Lara/Luke, 1 Jul 2026)</t>
  </si>
  <si>
    <t xml:space="preserve">Named purposes: fence move/repair labour · soakaway fix before decking · drainage by the garage · additional curved-decking labour · cement &amp; bricks for decking works.</t>
  </si>
  <si>
    <t xml:space="preserve">Opening pot:</t>
  </si>
  <si>
    <t xml:space="preserve">Remaining:</t>
  </si>
  <si>
    <t xml:space="preserve">Date</t>
  </si>
  <si>
    <t xml:space="preserve">Purpose</t>
  </si>
  <si>
    <t xml:space="preserve">Supplier / detail</t>
  </si>
  <si>
    <t xml:space="preserve">Amount £</t>
  </si>
  <si>
    <t xml:space="preserve">Running remaining £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</si>
</sst>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3"/>
      <color rgb="FF0F766E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3F4F6"/>
      </patternFill>
    </fill>
    <fill>
      <patternFill patternType="solid">
        <fgColor rgb="FFFEE2E2"/>
        <bgColor rgb="FFF3F4F6"/>
      </patternFill>
    </fill>
    <fill>
      <patternFill patternType="solid">
        <fgColor rgb="FFF3F4F6"/>
        <bgColor rgb="FFF0FDFA"/>
      </patternFill>
    </fill>
    <fill>
      <patternFill patternType="solid">
        <fgColor rgb="FFCCFBF1"/>
        <bgColor rgb="FFF0FD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9C4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A"/>
      <rgbColor rgb="FFF3F4F6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46216</v>
      </c>
      <c r="C2" s="4" t="s">
        <v>2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customFormat="false" ht="35.05" hidden="false" customHeight="false" outlineLevel="0" collapsed="false">
      <c r="A5" s="6" t="s">
        <v>10</v>
      </c>
      <c r="B5" s="7" t="s">
        <v>11</v>
      </c>
      <c r="C5" s="8" t="n">
        <v>32228.99</v>
      </c>
      <c r="D5" s="9" t="n">
        <f aca="false">SUMIF('Invoice Register'!$B:$B,$A5,'Invoice Register'!$F:$F)</f>
        <v>32228.99</v>
      </c>
      <c r="E5" s="9" t="n">
        <f aca="false">SUMIFS('Invoice Register'!$F:$F,'Invoice Register'!$B:$B,$A5,'Invoice Register'!$G:$G,"&lt;&gt;")</f>
        <v>32228.99</v>
      </c>
      <c r="F5" s="9" t="n">
        <f aca="false">C5-D5</f>
        <v>0</v>
      </c>
      <c r="G5" s="10" t="s">
        <v>12</v>
      </c>
    </row>
    <row r="6" customFormat="false" ht="28.35" hidden="false" customHeight="false" outlineLevel="0" collapsed="false">
      <c r="A6" s="6" t="s">
        <v>13</v>
      </c>
      <c r="B6" s="7" t="s">
        <v>14</v>
      </c>
      <c r="C6" s="8" t="n">
        <v>18800</v>
      </c>
      <c r="D6" s="9" t="n">
        <f aca="false">SUMIF('Invoice Register'!$B:$B,$A6,'Invoice Register'!$F:$F)</f>
        <v>0</v>
      </c>
      <c r="E6" s="9" t="n">
        <f aca="false">SUMIFS('Invoice Register'!$F:$F,'Invoice Register'!$B:$B,$A6,'Invoice Register'!$G:$G,"&lt;&gt;")</f>
        <v>0</v>
      </c>
      <c r="F6" s="9" t="n">
        <f aca="false">C6-D6</f>
        <v>18800</v>
      </c>
      <c r="G6" s="11" t="s">
        <v>15</v>
      </c>
    </row>
    <row r="7" customFormat="false" ht="35.05" hidden="false" customHeight="false" outlineLevel="0" collapsed="false">
      <c r="A7" s="6" t="s">
        <v>16</v>
      </c>
      <c r="B7" s="7" t="s">
        <v>17</v>
      </c>
      <c r="C7" s="8" t="n">
        <v>5000</v>
      </c>
      <c r="D7" s="9" t="n">
        <f aca="false">SUMIF('Invoice Register'!$B:$B,$A7,'Invoice Register'!$F:$F)</f>
        <v>0</v>
      </c>
      <c r="E7" s="9" t="n">
        <f aca="false">SUMIFS('Invoice Register'!$F:$F,'Invoice Register'!$B:$B,$A7,'Invoice Register'!$G:$G,"&lt;&gt;")</f>
        <v>0</v>
      </c>
      <c r="F7" s="9" t="n">
        <f aca="false">C7-D7</f>
        <v>5000</v>
      </c>
      <c r="G7" s="10" t="s">
        <v>18</v>
      </c>
    </row>
    <row r="8" customFormat="false" ht="28.35" hidden="false" customHeight="false" outlineLevel="0" collapsed="false">
      <c r="A8" s="6" t="s">
        <v>19</v>
      </c>
      <c r="B8" s="7" t="s">
        <v>14</v>
      </c>
      <c r="C8" s="8" t="n">
        <v>5260</v>
      </c>
      <c r="D8" s="9" t="n">
        <f aca="false">SUMIF('Invoice Register'!$B:$B,$A8,'Invoice Register'!$F:$F)</f>
        <v>0</v>
      </c>
      <c r="E8" s="9" t="n">
        <f aca="false">SUMIFS('Invoice Register'!$F:$F,'Invoice Register'!$B:$B,$A8,'Invoice Register'!$G:$G,"&lt;&gt;")</f>
        <v>0</v>
      </c>
      <c r="F8" s="9" t="n">
        <f aca="false">C8-D8</f>
        <v>5260</v>
      </c>
      <c r="G8" s="10" t="s">
        <v>20</v>
      </c>
    </row>
    <row r="9" customFormat="false" ht="28.35" hidden="false" customHeight="false" outlineLevel="0" collapsed="false">
      <c r="A9" s="6" t="s">
        <v>21</v>
      </c>
      <c r="B9" s="7" t="s">
        <v>14</v>
      </c>
      <c r="C9" s="8" t="n">
        <v>6230</v>
      </c>
      <c r="D9" s="9" t="n">
        <f aca="false">SUMIF('Invoice Register'!$B:$B,$A9,'Invoice Register'!$F:$F)</f>
        <v>0</v>
      </c>
      <c r="E9" s="9" t="n">
        <f aca="false">SUMIFS('Invoice Register'!$F:$F,'Invoice Register'!$B:$B,$A9,'Invoice Register'!$G:$G,"&lt;&gt;")</f>
        <v>0</v>
      </c>
      <c r="F9" s="9" t="n">
        <f aca="false">C9-D9</f>
        <v>6230</v>
      </c>
      <c r="G9" s="11" t="s">
        <v>22</v>
      </c>
    </row>
    <row r="10" customFormat="false" ht="15" hidden="false" customHeight="false" outlineLevel="0" collapsed="false">
      <c r="A10" s="12" t="s">
        <v>23</v>
      </c>
      <c r="B10" s="13"/>
      <c r="C10" s="14" t="n">
        <f aca="false">C5+C6+C7</f>
        <v>56028.99</v>
      </c>
      <c r="D10" s="14" t="n">
        <f aca="false">D5+D6+D7</f>
        <v>32228.99</v>
      </c>
      <c r="E10" s="14" t="n">
        <f aca="false">E5+E6+E7</f>
        <v>32228.99</v>
      </c>
      <c r="F10" s="14" t="n">
        <f aca="false">F5+F6+F7</f>
        <v>23800</v>
      </c>
      <c r="G10" s="13"/>
    </row>
    <row r="11" customFormat="false" ht="15" hidden="false" customHeight="false" outlineLevel="0" collapsed="false">
      <c r="A11" s="12" t="s">
        <v>24</v>
      </c>
      <c r="B11" s="13"/>
      <c r="C11" s="14" t="n">
        <f aca="false">C8+C9</f>
        <v>11490</v>
      </c>
      <c r="D11" s="14" t="n">
        <f aca="false">D8+D9</f>
        <v>0</v>
      </c>
      <c r="E11" s="14" t="n">
        <f aca="false">E8+E9</f>
        <v>0</v>
      </c>
      <c r="F11" s="14" t="n">
        <f aca="false">F8+F9</f>
        <v>11490</v>
      </c>
      <c r="G11" s="13"/>
    </row>
    <row r="12" customFormat="false" ht="15" hidden="false" customHeight="false" outlineLevel="0" collapsed="false">
      <c r="A12" s="15" t="s">
        <v>25</v>
      </c>
      <c r="B12" s="16"/>
      <c r="C12" s="17" t="n">
        <f aca="false">C10+C11</f>
        <v>67518.99</v>
      </c>
      <c r="D12" s="17" t="n">
        <f aca="false">D10+D11</f>
        <v>32228.99</v>
      </c>
      <c r="E12" s="17" t="n">
        <f aca="false">E10+E11</f>
        <v>32228.99</v>
      </c>
      <c r="F12" s="17" t="n">
        <f aca="false">F10+F11</f>
        <v>35290</v>
      </c>
      <c r="G12" s="16"/>
    </row>
    <row r="14" customFormat="false" ht="15" hidden="false" customHeight="false" outlineLevel="0" collapsed="false">
      <c r="A14" s="2" t="s">
        <v>26</v>
      </c>
      <c r="B14" s="18" t="n">
        <f aca="false">'Contingency Drawdown'!$D$4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44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4" t="s">
        <v>28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9</v>
      </c>
    </row>
    <row r="5" customFormat="false" ht="28.35" hidden="false" customHeight="false" outlineLevel="0" collapsed="false">
      <c r="A5" s="7" t="s">
        <v>19</v>
      </c>
      <c r="B5" s="7" t="s">
        <v>35</v>
      </c>
      <c r="C5" s="7" t="s">
        <v>36</v>
      </c>
      <c r="D5" s="19"/>
      <c r="E5" s="19"/>
      <c r="F5" s="20" t="n">
        <v>3200</v>
      </c>
      <c r="G5" s="19" t="s">
        <v>37</v>
      </c>
      <c r="H5" s="7" t="s">
        <v>38</v>
      </c>
      <c r="I5" s="10"/>
    </row>
    <row r="6" customFormat="false" ht="15" hidden="false" customHeight="false" outlineLevel="0" collapsed="false">
      <c r="A6" s="7" t="s">
        <v>19</v>
      </c>
      <c r="B6" s="7" t="s">
        <v>39</v>
      </c>
      <c r="C6" s="7" t="s">
        <v>40</v>
      </c>
      <c r="D6" s="19"/>
      <c r="E6" s="19"/>
      <c r="F6" s="20" t="n">
        <v>1500</v>
      </c>
      <c r="G6" s="19" t="s">
        <v>41</v>
      </c>
      <c r="H6" s="7" t="s">
        <v>42</v>
      </c>
      <c r="I6" s="10"/>
    </row>
    <row r="7" customFormat="false" ht="15" hidden="false" customHeight="false" outlineLevel="0" collapsed="false">
      <c r="A7" s="7" t="s">
        <v>19</v>
      </c>
      <c r="B7" s="7" t="s">
        <v>43</v>
      </c>
      <c r="C7" s="7" t="s">
        <v>44</v>
      </c>
      <c r="D7" s="19"/>
      <c r="E7" s="19"/>
      <c r="F7" s="20" t="n">
        <v>480</v>
      </c>
      <c r="G7" s="19" t="s">
        <v>41</v>
      </c>
      <c r="H7" s="7" t="s">
        <v>42</v>
      </c>
      <c r="I7" s="10"/>
    </row>
    <row r="8" customFormat="false" ht="15" hidden="false" customHeight="false" outlineLevel="0" collapsed="false">
      <c r="A8" s="7" t="s">
        <v>19</v>
      </c>
      <c r="B8" s="7" t="s">
        <v>35</v>
      </c>
      <c r="C8" s="7" t="s">
        <v>45</v>
      </c>
      <c r="D8" s="19"/>
      <c r="E8" s="19"/>
      <c r="F8" s="20" t="n">
        <v>80</v>
      </c>
      <c r="G8" s="19" t="s">
        <v>41</v>
      </c>
      <c r="H8" s="7" t="s">
        <v>38</v>
      </c>
      <c r="I8" s="10"/>
    </row>
    <row r="9" customFormat="false" ht="28.35" hidden="false" customHeight="false" outlineLevel="0" collapsed="false">
      <c r="A9" s="7" t="s">
        <v>21</v>
      </c>
      <c r="B9" s="7" t="s">
        <v>35</v>
      </c>
      <c r="C9" s="7" t="s">
        <v>46</v>
      </c>
      <c r="D9" s="19"/>
      <c r="E9" s="19"/>
      <c r="F9" s="20" t="n">
        <v>3800</v>
      </c>
      <c r="G9" s="19" t="s">
        <v>37</v>
      </c>
      <c r="H9" s="7" t="s">
        <v>38</v>
      </c>
      <c r="I9" s="11" t="s">
        <v>47</v>
      </c>
    </row>
    <row r="10" customFormat="false" ht="15" hidden="false" customHeight="false" outlineLevel="0" collapsed="false">
      <c r="A10" s="7" t="s">
        <v>21</v>
      </c>
      <c r="B10" s="7" t="s">
        <v>39</v>
      </c>
      <c r="C10" s="7" t="s">
        <v>48</v>
      </c>
      <c r="D10" s="19"/>
      <c r="E10" s="19"/>
      <c r="F10" s="20" t="n">
        <v>1700</v>
      </c>
      <c r="G10" s="19" t="s">
        <v>41</v>
      </c>
      <c r="H10" s="7" t="s">
        <v>42</v>
      </c>
      <c r="I10" s="10"/>
    </row>
    <row r="11" customFormat="false" ht="15" hidden="false" customHeight="false" outlineLevel="0" collapsed="false">
      <c r="A11" s="7" t="s">
        <v>21</v>
      </c>
      <c r="B11" s="7" t="s">
        <v>43</v>
      </c>
      <c r="C11" s="7" t="s">
        <v>44</v>
      </c>
      <c r="D11" s="19"/>
      <c r="E11" s="19"/>
      <c r="F11" s="20" t="n">
        <v>650</v>
      </c>
      <c r="G11" s="19" t="s">
        <v>41</v>
      </c>
      <c r="H11" s="7" t="s">
        <v>42</v>
      </c>
      <c r="I11" s="10"/>
    </row>
    <row r="12" customFormat="false" ht="15" hidden="false" customHeight="false" outlineLevel="0" collapsed="false">
      <c r="A12" s="7" t="s">
        <v>21</v>
      </c>
      <c r="B12" s="7" t="s">
        <v>35</v>
      </c>
      <c r="C12" s="7" t="s">
        <v>45</v>
      </c>
      <c r="D12" s="19"/>
      <c r="E12" s="19"/>
      <c r="F12" s="20" t="n">
        <v>80</v>
      </c>
      <c r="G12" s="19" t="s">
        <v>41</v>
      </c>
      <c r="H12" s="7" t="s">
        <v>38</v>
      </c>
      <c r="I12" s="10"/>
    </row>
    <row r="13" customFormat="false" ht="28.35" hidden="false" customHeight="false" outlineLevel="0" collapsed="false">
      <c r="A13" s="7" t="s">
        <v>13</v>
      </c>
      <c r="B13" s="7" t="s">
        <v>35</v>
      </c>
      <c r="C13" s="7" t="s">
        <v>49</v>
      </c>
      <c r="D13" s="19"/>
      <c r="E13" s="19"/>
      <c r="F13" s="20" t="n">
        <v>17600</v>
      </c>
      <c r="G13" s="19" t="s">
        <v>37</v>
      </c>
      <c r="H13" s="7" t="s">
        <v>38</v>
      </c>
      <c r="I13" s="11" t="s">
        <v>50</v>
      </c>
    </row>
    <row r="14" customFormat="false" ht="15" hidden="false" customHeight="false" outlineLevel="0" collapsed="false">
      <c r="A14" s="7" t="s">
        <v>13</v>
      </c>
      <c r="B14" s="7" t="s">
        <v>35</v>
      </c>
      <c r="C14" s="7" t="s">
        <v>51</v>
      </c>
      <c r="D14" s="19"/>
      <c r="E14" s="19"/>
      <c r="F14" s="20" t="n">
        <v>1200</v>
      </c>
      <c r="G14" s="19" t="s">
        <v>41</v>
      </c>
      <c r="H14" s="7" t="s">
        <v>38</v>
      </c>
      <c r="I14" s="10"/>
    </row>
    <row r="15" customFormat="false" ht="15" hidden="false" customHeight="false" outlineLevel="0" collapsed="false">
      <c r="A15" s="7" t="s">
        <v>10</v>
      </c>
      <c r="B15" s="7" t="s">
        <v>52</v>
      </c>
      <c r="C15" s="7" t="s">
        <v>53</v>
      </c>
      <c r="D15" s="19" t="n">
        <v>230</v>
      </c>
      <c r="E15" s="20" t="n">
        <v>66.49</v>
      </c>
      <c r="F15" s="20" t="n">
        <v>15292.7</v>
      </c>
      <c r="G15" s="19" t="s">
        <v>54</v>
      </c>
      <c r="H15" s="7" t="s">
        <v>55</v>
      </c>
      <c r="I15" s="10"/>
    </row>
    <row r="16" customFormat="false" ht="15" hidden="false" customHeight="false" outlineLevel="0" collapsed="false">
      <c r="A16" s="7" t="s">
        <v>10</v>
      </c>
      <c r="B16" s="7" t="s">
        <v>52</v>
      </c>
      <c r="C16" s="7" t="s">
        <v>56</v>
      </c>
      <c r="D16" s="19" t="n">
        <v>18</v>
      </c>
      <c r="E16" s="20" t="n">
        <v>58.09</v>
      </c>
      <c r="F16" s="20" t="n">
        <v>1045.62</v>
      </c>
      <c r="G16" s="19" t="s">
        <v>54</v>
      </c>
      <c r="H16" s="7" t="s">
        <v>55</v>
      </c>
      <c r="I16" s="10"/>
    </row>
    <row r="17" customFormat="false" ht="28.35" hidden="false" customHeight="false" outlineLevel="0" collapsed="false">
      <c r="A17" s="7" t="s">
        <v>10</v>
      </c>
      <c r="B17" s="7" t="s">
        <v>52</v>
      </c>
      <c r="C17" s="7" t="s">
        <v>57</v>
      </c>
      <c r="D17" s="19" t="n">
        <v>15</v>
      </c>
      <c r="E17" s="20" t="n">
        <v>72.25</v>
      </c>
      <c r="F17" s="20" t="n">
        <v>1083.75</v>
      </c>
      <c r="G17" s="19" t="s">
        <v>54</v>
      </c>
      <c r="H17" s="7" t="s">
        <v>55</v>
      </c>
      <c r="I17" s="10" t="s">
        <v>58</v>
      </c>
    </row>
    <row r="18" customFormat="false" ht="15" hidden="false" customHeight="false" outlineLevel="0" collapsed="false">
      <c r="A18" s="7" t="s">
        <v>10</v>
      </c>
      <c r="B18" s="7" t="s">
        <v>52</v>
      </c>
      <c r="C18" s="7" t="s">
        <v>59</v>
      </c>
      <c r="D18" s="19" t="n">
        <v>15</v>
      </c>
      <c r="E18" s="20" t="n">
        <v>59.89</v>
      </c>
      <c r="F18" s="20" t="n">
        <v>898.35</v>
      </c>
      <c r="G18" s="19" t="s">
        <v>54</v>
      </c>
      <c r="H18" s="7" t="s">
        <v>55</v>
      </c>
      <c r="I18" s="10"/>
    </row>
    <row r="19" customFormat="false" ht="15" hidden="false" customHeight="false" outlineLevel="0" collapsed="false">
      <c r="A19" s="7" t="s">
        <v>10</v>
      </c>
      <c r="B19" s="7" t="s">
        <v>52</v>
      </c>
      <c r="C19" s="7" t="s">
        <v>60</v>
      </c>
      <c r="D19" s="19" t="n">
        <v>24</v>
      </c>
      <c r="E19" s="20" t="n">
        <v>32.08</v>
      </c>
      <c r="F19" s="20" t="n">
        <v>770</v>
      </c>
      <c r="G19" s="19" t="s">
        <v>54</v>
      </c>
      <c r="H19" s="7" t="s">
        <v>55</v>
      </c>
      <c r="I19" s="10"/>
    </row>
    <row r="20" customFormat="false" ht="15" hidden="false" customHeight="false" outlineLevel="0" collapsed="false">
      <c r="A20" s="7" t="s">
        <v>10</v>
      </c>
      <c r="B20" s="7" t="s">
        <v>52</v>
      </c>
      <c r="C20" s="7" t="s">
        <v>61</v>
      </c>
      <c r="D20" s="19" t="n">
        <v>6</v>
      </c>
      <c r="E20" s="20" t="n">
        <v>10.25</v>
      </c>
      <c r="F20" s="20" t="n">
        <v>61.5</v>
      </c>
      <c r="G20" s="19" t="s">
        <v>54</v>
      </c>
      <c r="H20" s="7" t="s">
        <v>55</v>
      </c>
      <c r="I20" s="10"/>
    </row>
    <row r="21" customFormat="false" ht="28.35" hidden="false" customHeight="false" outlineLevel="0" collapsed="false">
      <c r="A21" s="7" t="s">
        <v>10</v>
      </c>
      <c r="B21" s="7" t="s">
        <v>52</v>
      </c>
      <c r="C21" s="7" t="s">
        <v>62</v>
      </c>
      <c r="D21" s="19" t="n">
        <v>266</v>
      </c>
      <c r="E21" s="20" t="n">
        <v>28.4</v>
      </c>
      <c r="F21" s="20" t="n">
        <v>7554.4</v>
      </c>
      <c r="G21" s="19" t="s">
        <v>54</v>
      </c>
      <c r="H21" s="7" t="s">
        <v>55</v>
      </c>
      <c r="I21" s="10" t="s">
        <v>63</v>
      </c>
    </row>
    <row r="22" customFormat="false" ht="15" hidden="false" customHeight="false" outlineLevel="0" collapsed="false">
      <c r="A22" s="7" t="s">
        <v>10</v>
      </c>
      <c r="B22" s="7" t="s">
        <v>52</v>
      </c>
      <c r="C22" s="7" t="s">
        <v>64</v>
      </c>
      <c r="D22" s="19" t="n">
        <v>16</v>
      </c>
      <c r="E22" s="20" t="n">
        <v>7.87</v>
      </c>
      <c r="F22" s="20" t="n">
        <v>125.92</v>
      </c>
      <c r="G22" s="19" t="s">
        <v>54</v>
      </c>
      <c r="H22" s="7" t="s">
        <v>55</v>
      </c>
      <c r="I22" s="10"/>
    </row>
    <row r="23" customFormat="false" ht="15" hidden="false" customHeight="false" outlineLevel="0" collapsed="false">
      <c r="A23" s="7" t="s">
        <v>10</v>
      </c>
      <c r="B23" s="7" t="s">
        <v>52</v>
      </c>
      <c r="C23" s="7" t="s">
        <v>65</v>
      </c>
      <c r="D23" s="19" t="n">
        <v>1</v>
      </c>
      <c r="E23" s="20" t="n">
        <v>15</v>
      </c>
      <c r="F23" s="20" t="n">
        <v>15</v>
      </c>
      <c r="G23" s="19" t="s">
        <v>54</v>
      </c>
      <c r="H23" s="7" t="s">
        <v>55</v>
      </c>
      <c r="I23" s="10"/>
    </row>
    <row r="24" customFormat="false" ht="15" hidden="false" customHeight="false" outlineLevel="0" collapsed="false">
      <c r="A24" s="7" t="s">
        <v>10</v>
      </c>
      <c r="B24" s="7" t="s">
        <v>52</v>
      </c>
      <c r="C24" s="7" t="s">
        <v>66</v>
      </c>
      <c r="D24" s="19" t="n">
        <v>1</v>
      </c>
      <c r="E24" s="20" t="n">
        <v>10.25</v>
      </c>
      <c r="F24" s="20" t="n">
        <v>10.25</v>
      </c>
      <c r="G24" s="19" t="s">
        <v>54</v>
      </c>
      <c r="H24" s="7" t="s">
        <v>55</v>
      </c>
      <c r="I24" s="10"/>
    </row>
    <row r="25" customFormat="false" ht="15" hidden="false" customHeight="false" outlineLevel="0" collapsed="false">
      <c r="A25" s="7" t="s">
        <v>10</v>
      </c>
      <c r="B25" s="7" t="s">
        <v>52</v>
      </c>
      <c r="C25" s="7" t="s">
        <v>67</v>
      </c>
      <c r="D25" s="19"/>
      <c r="E25" s="19"/>
      <c r="F25" s="20" t="n">
        <v>5371.5</v>
      </c>
      <c r="G25" s="19" t="s">
        <v>33</v>
      </c>
      <c r="H25" s="7" t="s">
        <v>55</v>
      </c>
      <c r="I25" s="10" t="s">
        <v>68</v>
      </c>
    </row>
    <row r="26" customFormat="false" ht="28.35" hidden="false" customHeight="false" outlineLevel="0" collapsed="false">
      <c r="A26" s="7" t="s">
        <v>16</v>
      </c>
      <c r="B26" s="7" t="s">
        <v>69</v>
      </c>
      <c r="C26" s="7" t="s">
        <v>70</v>
      </c>
      <c r="D26" s="19"/>
      <c r="E26" s="19"/>
      <c r="F26" s="20" t="n">
        <v>5000</v>
      </c>
      <c r="G26" s="19" t="s">
        <v>17</v>
      </c>
      <c r="H26" s="7" t="s">
        <v>71</v>
      </c>
      <c r="I26" s="10" t="s">
        <v>72</v>
      </c>
    </row>
    <row r="27" customFormat="false" ht="15" hidden="false" customHeight="false" outlineLevel="0" collapsed="false">
      <c r="C27" s="21" t="s">
        <v>73</v>
      </c>
      <c r="F27" s="22" t="n">
        <f aca="false">SUM(F5:F26)</f>
        <v>67518.99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74</v>
      </c>
    </row>
    <row r="2" customFormat="false" ht="15" hidden="false" customHeight="false" outlineLevel="0" collapsed="false">
      <c r="A2" s="4" t="s">
        <v>75</v>
      </c>
    </row>
    <row r="4" customFormat="false" ht="15" hidden="false" customHeight="false" outlineLevel="0" collapsed="false">
      <c r="A4" s="5" t="s">
        <v>76</v>
      </c>
      <c r="B4" s="5" t="s">
        <v>3</v>
      </c>
      <c r="C4" s="5" t="s">
        <v>4</v>
      </c>
      <c r="D4" s="5" t="s">
        <v>77</v>
      </c>
      <c r="E4" s="5" t="s">
        <v>78</v>
      </c>
      <c r="F4" s="5" t="s">
        <v>79</v>
      </c>
      <c r="G4" s="5" t="s">
        <v>80</v>
      </c>
      <c r="H4" s="5" t="s">
        <v>81</v>
      </c>
      <c r="I4" s="5" t="s">
        <v>9</v>
      </c>
    </row>
    <row r="5" customFormat="false" ht="28.35" hidden="false" customHeight="false" outlineLevel="0" collapsed="false">
      <c r="A5" s="23" t="n">
        <v>46212</v>
      </c>
      <c r="B5" s="7" t="s">
        <v>10</v>
      </c>
      <c r="C5" s="7" t="s">
        <v>11</v>
      </c>
      <c r="D5" s="7" t="s">
        <v>82</v>
      </c>
      <c r="E5" s="7" t="s">
        <v>83</v>
      </c>
      <c r="F5" s="20" t="n">
        <v>32228.99</v>
      </c>
      <c r="G5" s="23" t="n">
        <v>46212</v>
      </c>
      <c r="H5" s="24" t="s">
        <v>84</v>
      </c>
      <c r="I5" s="7" t="s">
        <v>85</v>
      </c>
    </row>
    <row r="6" customFormat="false" ht="15" hidden="false" customHeight="false" outlineLevel="0" collapsed="false">
      <c r="A6" s="25"/>
      <c r="B6" s="26"/>
      <c r="C6" s="26"/>
      <c r="D6" s="26"/>
      <c r="E6" s="26"/>
      <c r="F6" s="27"/>
      <c r="G6" s="25"/>
      <c r="H6" s="26"/>
      <c r="I6" s="26"/>
    </row>
    <row r="7" customFormat="false" ht="15" hidden="false" customHeight="false" outlineLevel="0" collapsed="false">
      <c r="A7" s="25"/>
      <c r="B7" s="26"/>
      <c r="C7" s="26"/>
      <c r="D7" s="26"/>
      <c r="E7" s="26"/>
      <c r="F7" s="27"/>
      <c r="G7" s="25"/>
      <c r="H7" s="26"/>
      <c r="I7" s="26"/>
    </row>
    <row r="8" customFormat="false" ht="15" hidden="false" customHeight="false" outlineLevel="0" collapsed="false">
      <c r="A8" s="25"/>
      <c r="B8" s="26"/>
      <c r="C8" s="26"/>
      <c r="D8" s="26"/>
      <c r="E8" s="26"/>
      <c r="F8" s="27"/>
      <c r="G8" s="25"/>
      <c r="H8" s="26"/>
      <c r="I8" s="26"/>
    </row>
    <row r="9" customFormat="false" ht="15" hidden="false" customHeight="false" outlineLevel="0" collapsed="false">
      <c r="A9" s="25"/>
      <c r="B9" s="26"/>
      <c r="C9" s="26"/>
      <c r="D9" s="26"/>
      <c r="E9" s="26"/>
      <c r="F9" s="27"/>
      <c r="G9" s="25"/>
      <c r="H9" s="26"/>
      <c r="I9" s="26"/>
    </row>
    <row r="10" customFormat="false" ht="15" hidden="false" customHeight="false" outlineLevel="0" collapsed="false">
      <c r="A10" s="25"/>
      <c r="B10" s="26"/>
      <c r="C10" s="26"/>
      <c r="D10" s="26"/>
      <c r="E10" s="26"/>
      <c r="F10" s="27"/>
      <c r="G10" s="25"/>
      <c r="H10" s="26"/>
      <c r="I10" s="26"/>
    </row>
    <row r="11" customFormat="false" ht="15" hidden="false" customHeight="false" outlineLevel="0" collapsed="false">
      <c r="A11" s="25"/>
      <c r="B11" s="26"/>
      <c r="C11" s="26"/>
      <c r="D11" s="26"/>
      <c r="E11" s="26"/>
      <c r="F11" s="27"/>
      <c r="G11" s="25"/>
      <c r="H11" s="26"/>
      <c r="I11" s="26"/>
    </row>
    <row r="12" customFormat="false" ht="15" hidden="false" customHeight="false" outlineLevel="0" collapsed="false">
      <c r="A12" s="25"/>
      <c r="B12" s="26"/>
      <c r="C12" s="26"/>
      <c r="D12" s="26"/>
      <c r="E12" s="26"/>
      <c r="F12" s="27"/>
      <c r="G12" s="25"/>
      <c r="H12" s="26"/>
      <c r="I12" s="26"/>
    </row>
    <row r="13" customFormat="false" ht="15" hidden="false" customHeight="false" outlineLevel="0" collapsed="false">
      <c r="A13" s="25"/>
      <c r="B13" s="26"/>
      <c r="C13" s="26"/>
      <c r="D13" s="26"/>
      <c r="E13" s="26"/>
      <c r="F13" s="27"/>
      <c r="G13" s="25"/>
      <c r="H13" s="26"/>
      <c r="I13" s="26"/>
    </row>
    <row r="14" customFormat="false" ht="15" hidden="false" customHeight="false" outlineLevel="0" collapsed="false">
      <c r="A14" s="25"/>
      <c r="B14" s="26"/>
      <c r="C14" s="26"/>
      <c r="D14" s="26"/>
      <c r="E14" s="26"/>
      <c r="F14" s="27"/>
      <c r="G14" s="25"/>
      <c r="H14" s="26"/>
      <c r="I14" s="26"/>
    </row>
    <row r="15" customFormat="false" ht="15" hidden="false" customHeight="false" outlineLevel="0" collapsed="false">
      <c r="A15" s="25"/>
      <c r="B15" s="26"/>
      <c r="C15" s="26"/>
      <c r="D15" s="26"/>
      <c r="E15" s="26"/>
      <c r="F15" s="27"/>
      <c r="G15" s="25"/>
      <c r="H15" s="26"/>
      <c r="I15" s="26"/>
    </row>
    <row r="16" customFormat="false" ht="15" hidden="false" customHeight="false" outlineLevel="0" collapsed="false">
      <c r="A16" s="25"/>
      <c r="B16" s="26"/>
      <c r="C16" s="26"/>
      <c r="D16" s="26"/>
      <c r="E16" s="26"/>
      <c r="F16" s="27"/>
      <c r="G16" s="25"/>
      <c r="H16" s="26"/>
      <c r="I16" s="26"/>
    </row>
    <row r="17" customFormat="false" ht="15" hidden="false" customHeight="false" outlineLevel="0" collapsed="false">
      <c r="A17" s="25"/>
      <c r="B17" s="26"/>
      <c r="C17" s="26"/>
      <c r="D17" s="26"/>
      <c r="E17" s="26"/>
      <c r="F17" s="27"/>
      <c r="G17" s="25"/>
      <c r="H17" s="26"/>
      <c r="I17" s="26"/>
    </row>
    <row r="18" customFormat="false" ht="15" hidden="false" customHeight="false" outlineLevel="0" collapsed="false">
      <c r="A18" s="25"/>
      <c r="B18" s="26"/>
      <c r="C18" s="26"/>
      <c r="D18" s="26"/>
      <c r="E18" s="26"/>
      <c r="F18" s="27"/>
      <c r="G18" s="25"/>
      <c r="H18" s="26"/>
      <c r="I18" s="26"/>
    </row>
    <row r="19" customFormat="false" ht="15" hidden="false" customHeight="false" outlineLevel="0" collapsed="false">
      <c r="A19" s="25"/>
      <c r="B19" s="26"/>
      <c r="C19" s="26"/>
      <c r="D19" s="26"/>
      <c r="E19" s="26"/>
      <c r="F19" s="27"/>
      <c r="G19" s="25"/>
      <c r="H19" s="26"/>
      <c r="I19" s="26"/>
    </row>
    <row r="20" customFormat="false" ht="15" hidden="false" customHeight="false" outlineLevel="0" collapsed="false">
      <c r="A20" s="25"/>
      <c r="B20" s="26"/>
      <c r="C20" s="26"/>
      <c r="D20" s="26"/>
      <c r="E20" s="26"/>
      <c r="F20" s="27"/>
      <c r="G20" s="25"/>
      <c r="H20" s="26"/>
      <c r="I20" s="26"/>
    </row>
    <row r="21" customFormat="false" ht="15" hidden="false" customHeight="false" outlineLevel="0" collapsed="false">
      <c r="A21" s="25"/>
      <c r="B21" s="26"/>
      <c r="C21" s="26"/>
      <c r="D21" s="26"/>
      <c r="E21" s="26"/>
      <c r="F21" s="27"/>
      <c r="G21" s="25"/>
      <c r="H21" s="26"/>
      <c r="I21" s="26"/>
    </row>
    <row r="22" customFormat="false" ht="15" hidden="false" customHeight="false" outlineLevel="0" collapsed="false">
      <c r="A22" s="25"/>
      <c r="B22" s="26"/>
      <c r="C22" s="26"/>
      <c r="D22" s="26"/>
      <c r="E22" s="26"/>
      <c r="F22" s="27"/>
      <c r="G22" s="25"/>
      <c r="H22" s="26"/>
      <c r="I22" s="26"/>
    </row>
    <row r="23" customFormat="false" ht="15" hidden="false" customHeight="false" outlineLevel="0" collapsed="false">
      <c r="A23" s="25"/>
      <c r="B23" s="26"/>
      <c r="C23" s="26"/>
      <c r="D23" s="26"/>
      <c r="E23" s="26"/>
      <c r="F23" s="27"/>
      <c r="G23" s="25"/>
      <c r="H23" s="26"/>
      <c r="I23" s="26"/>
    </row>
    <row r="24" customFormat="false" ht="15" hidden="false" customHeight="false" outlineLevel="0" collapsed="false">
      <c r="A24" s="25"/>
      <c r="B24" s="26"/>
      <c r="C24" s="26"/>
      <c r="D24" s="26"/>
      <c r="E24" s="26"/>
      <c r="F24" s="27"/>
      <c r="G24" s="25"/>
      <c r="H24" s="26"/>
      <c r="I24" s="26"/>
    </row>
    <row r="25" customFormat="false" ht="15" hidden="false" customHeight="false" outlineLevel="0" collapsed="false">
      <c r="A25" s="25"/>
      <c r="B25" s="26"/>
      <c r="C25" s="26"/>
      <c r="D25" s="26"/>
      <c r="E25" s="26"/>
      <c r="F25" s="27"/>
      <c r="G25" s="25"/>
      <c r="H25" s="26"/>
      <c r="I2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34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86</v>
      </c>
    </row>
    <row r="2" customFormat="false" ht="15" hidden="false" customHeight="false" outlineLevel="0" collapsed="false">
      <c r="A2" s="4" t="s">
        <v>87</v>
      </c>
    </row>
    <row r="4" customFormat="false" ht="16.15" hidden="false" customHeight="false" outlineLevel="0" collapsed="false">
      <c r="A4" s="2" t="s">
        <v>88</v>
      </c>
      <c r="B4" s="28" t="n">
        <v>5000</v>
      </c>
      <c r="C4" s="2" t="s">
        <v>89</v>
      </c>
      <c r="D4" s="29" t="n">
        <f aca="false">B4-SUM(D8:D40)</f>
        <v>5000</v>
      </c>
    </row>
    <row r="7" customFormat="false" ht="15" hidden="false" customHeight="false" outlineLevel="0" collapsed="false">
      <c r="A7" s="5" t="s">
        <v>90</v>
      </c>
      <c r="B7" s="5" t="s">
        <v>91</v>
      </c>
      <c r="C7" s="5" t="s">
        <v>92</v>
      </c>
      <c r="D7" s="5" t="s">
        <v>93</v>
      </c>
      <c r="E7" s="5" t="s">
        <v>94</v>
      </c>
    </row>
    <row r="8" customFormat="false" ht="15" hidden="false" customHeight="false" outlineLevel="0" collapsed="false">
      <c r="A8" s="25"/>
      <c r="B8" s="26"/>
      <c r="C8" s="26"/>
      <c r="D8" s="27"/>
      <c r="E8" s="9" t="str">
        <f aca="false">IF(D8="","",$B$4-SUM($D$8:D8))</f>
        <v/>
      </c>
    </row>
    <row r="9" customFormat="false" ht="15" hidden="false" customHeight="false" outlineLevel="0" collapsed="false">
      <c r="A9" s="25"/>
      <c r="B9" s="26"/>
      <c r="C9" s="26"/>
      <c r="D9" s="27"/>
      <c r="E9" s="9" t="str">
        <f aca="false">IF(D9="","",$B$4-SUM($D$8:D9))</f>
        <v/>
      </c>
    </row>
    <row r="10" customFormat="false" ht="15" hidden="false" customHeight="false" outlineLevel="0" collapsed="false">
      <c r="A10" s="25"/>
      <c r="B10" s="26"/>
      <c r="C10" s="26"/>
      <c r="D10" s="27"/>
      <c r="E10" s="9" t="str">
        <f aca="false">IF(D10="","",$B$4-SUM($D$8:D10))</f>
        <v/>
      </c>
    </row>
    <row r="11" customFormat="false" ht="15" hidden="false" customHeight="false" outlineLevel="0" collapsed="false">
      <c r="A11" s="25"/>
      <c r="B11" s="26"/>
      <c r="C11" s="26"/>
      <c r="D11" s="27"/>
      <c r="E11" s="9" t="str">
        <f aca="false">IF(D11="","",$B$4-SUM($D$8:D11))</f>
        <v/>
      </c>
    </row>
    <row r="12" customFormat="false" ht="15" hidden="false" customHeight="false" outlineLevel="0" collapsed="false">
      <c r="A12" s="25"/>
      <c r="B12" s="26"/>
      <c r="C12" s="26"/>
      <c r="D12" s="27"/>
      <c r="E12" s="9" t="str">
        <f aca="false">IF(D12="","",$B$4-SUM($D$8:D12))</f>
        <v/>
      </c>
    </row>
    <row r="13" customFormat="false" ht="15" hidden="false" customHeight="false" outlineLevel="0" collapsed="false">
      <c r="A13" s="25"/>
      <c r="B13" s="26"/>
      <c r="C13" s="26"/>
      <c r="D13" s="27"/>
      <c r="E13" s="9" t="str">
        <f aca="false">IF(D13="","",$B$4-SUM($D$8:D13))</f>
        <v/>
      </c>
    </row>
    <row r="14" customFormat="false" ht="15" hidden="false" customHeight="false" outlineLevel="0" collapsed="false">
      <c r="A14" s="25"/>
      <c r="B14" s="26"/>
      <c r="C14" s="26"/>
      <c r="D14" s="27"/>
      <c r="E14" s="9" t="str">
        <f aca="false">IF(D14="","",$B$4-SUM($D$8:D14))</f>
        <v/>
      </c>
    </row>
    <row r="15" customFormat="false" ht="15" hidden="false" customHeight="false" outlineLevel="0" collapsed="false">
      <c r="A15" s="25"/>
      <c r="B15" s="26"/>
      <c r="C15" s="26"/>
      <c r="D15" s="27"/>
      <c r="E15" s="9" t="str">
        <f aca="false">IF(D15="","",$B$4-SUM($D$8:D15))</f>
        <v/>
      </c>
    </row>
    <row r="16" customFormat="false" ht="15" hidden="false" customHeight="false" outlineLevel="0" collapsed="false">
      <c r="A16" s="25"/>
      <c r="B16" s="26"/>
      <c r="C16" s="26"/>
      <c r="D16" s="27"/>
      <c r="E16" s="9" t="str">
        <f aca="false">IF(D16="","",$B$4-SUM($D$8:D16))</f>
        <v/>
      </c>
    </row>
    <row r="17" customFormat="false" ht="15" hidden="false" customHeight="false" outlineLevel="0" collapsed="false">
      <c r="A17" s="25"/>
      <c r="B17" s="26"/>
      <c r="C17" s="26"/>
      <c r="D17" s="27"/>
      <c r="E17" s="9" t="str">
        <f aca="false">IF(D17="","",$B$4-SUM($D$8:D17))</f>
        <v/>
      </c>
    </row>
    <row r="18" customFormat="false" ht="15" hidden="false" customHeight="false" outlineLevel="0" collapsed="false">
      <c r="A18" s="25"/>
      <c r="B18" s="26"/>
      <c r="C18" s="26"/>
      <c r="D18" s="27"/>
      <c r="E18" s="9" t="str">
        <f aca="false">IF(D18="","",$B$4-SUM($D$8:D18))</f>
        <v/>
      </c>
    </row>
    <row r="19" customFormat="false" ht="15" hidden="false" customHeight="false" outlineLevel="0" collapsed="false">
      <c r="A19" s="25"/>
      <c r="B19" s="26"/>
      <c r="C19" s="26"/>
      <c r="D19" s="27"/>
      <c r="E19" s="9" t="str">
        <f aca="false">IF(D19="","",$B$4-SUM($D$8:D19))</f>
        <v/>
      </c>
    </row>
    <row r="20" customFormat="false" ht="15" hidden="false" customHeight="false" outlineLevel="0" collapsed="false">
      <c r="A20" s="25"/>
      <c r="B20" s="26"/>
      <c r="C20" s="26"/>
      <c r="D20" s="27"/>
      <c r="E20" s="9" t="str">
        <f aca="false">IF(D20="","",$B$4-SUM($D$8:D20))</f>
        <v/>
      </c>
    </row>
    <row r="21" customFormat="false" ht="15" hidden="false" customHeight="false" outlineLevel="0" collapsed="false">
      <c r="A21" s="25"/>
      <c r="B21" s="26"/>
      <c r="C21" s="26"/>
      <c r="D21" s="27"/>
      <c r="E21" s="9" t="str">
        <f aca="false">IF(D21="","",$B$4-SUM($D$8:D21))</f>
        <v/>
      </c>
    </row>
    <row r="22" customFormat="false" ht="15" hidden="false" customHeight="false" outlineLevel="0" collapsed="false">
      <c r="A22" s="25"/>
      <c r="B22" s="26"/>
      <c r="C22" s="26"/>
      <c r="D22" s="27"/>
      <c r="E22" s="9" t="str">
        <f aca="false">IF(D22="","",$B$4-SUM($D$8:D22))</f>
        <v/>
      </c>
    </row>
    <row r="23" customFormat="false" ht="15" hidden="false" customHeight="false" outlineLevel="0" collapsed="false">
      <c r="A23" s="25"/>
      <c r="B23" s="26"/>
      <c r="C23" s="26"/>
      <c r="D23" s="27"/>
      <c r="E23" s="9" t="str">
        <f aca="false">IF(D23="","",$B$4-SUM($D$8:D23))</f>
        <v/>
      </c>
    </row>
    <row r="24" customFormat="false" ht="15" hidden="false" customHeight="false" outlineLevel="0" collapsed="false">
      <c r="A24" s="25"/>
      <c r="B24" s="26"/>
      <c r="C24" s="26"/>
      <c r="D24" s="27"/>
      <c r="E24" s="9" t="str">
        <f aca="false">IF(D24="","",$B$4-SUM($D$8:D24))</f>
        <v/>
      </c>
    </row>
    <row r="25" customFormat="false" ht="15" hidden="false" customHeight="false" outlineLevel="0" collapsed="false">
      <c r="A25" s="25"/>
      <c r="B25" s="26"/>
      <c r="C25" s="26"/>
      <c r="D25" s="27"/>
      <c r="E25" s="9" t="str">
        <f aca="false">IF(D25="","",$B$4-SUM($D$8:D25))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2026-07-13T22:53:36Z</dcterms:created>
  <dc:creator>openpyxl</dc:creator>
  <dc:description/>
  <dc:language>en-US</dc:language>
  <cp:lastModifiedBy/>
  <dcterms:modified xsi:type="dcterms:W3CDTF">2026-07-13T22:53:36Z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