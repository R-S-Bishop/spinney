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voicing Schedule" sheetId="2" state="visible" r:id="rId4"/>
    <sheet name="Cost Lines" sheetId="3" state="visible" r:id="rId5"/>
    <sheet name="Invoice Register" sheetId="4" state="visible" r:id="rId6"/>
    <sheet name="Contingency Drawdow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<sst xmlns="http://schemas.openxmlformats.org/spreadsheetml/2006/main" count="255" uniqueCount="139">
  <si>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</si>
  <si>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</si>
  <si>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</si>
  <si>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</si>
  <si>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</si>
  <si>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</si>
  <si>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</si>
  <si>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</si>
  <si>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</si>
  <si>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</si>
  <si>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</si>
  <si>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</si>
  <si>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</si>
  <si>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 &amp; rubbish</t>
  </si>
  <si>
    <t xml:space="preserve">LG Building and Roofing Ltd</t>
  </si>
  <si>
    <t xml:space="preserve">£17,600 labour (no VAT) + £1,200 rubbish removal. RISK: price 'fairly accurate' pending Luke's structure/ground assessment.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</si>
  <si>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</si>
  <si>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</si>
  <si>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bricks. See Contingency Drawdown sheet.</t>
  </si>
  <si>
    <t xml:space="preserve">Chimney repair</t>
  </si>
  <si>
    <t xml:space="preserve">Quoted separately (2 Jun). £3,200 labour no VAT; scaffolding £1,500 and materials £480 paid directly; £80 rubbish.</t>
  </si>
  <si>
    <t xml:space="preserve">Coping stones repair</t>
  </si>
  <si>
    <t xml:space="preserve">Quoted separately (3 Jun). RISK: damage to coping stones on removal could substantially increase cost.</t>
  </si>
  <si>
    <t xml:space="preserve">Core project (Luke's ~£56,800 outline)</t>
  </si>
  <si>
    <t xml:space="preserve">Quoted separately (chimney + coping)</t>
  </si>
  <si>
    <t xml:space="preserve">PROJECT TOTAL</t>
  </si>
  <si>
    <t xml:space="preserve">Contingency remaining:</t>
  </si>
  <si>
    <t xml:space="preserve">Invoicing Schedule — expected invoice events</t>
  </si>
  <si>
    <t xml:space="preserve">Luke's phase-invoicing terms are PENDING LARA'S APPROVAL (amber rows). Scaffolding terms are agreed. When an invoice lands, log it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</si>
  <si>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</si>
  <si>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</si>
  <si>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</si>
  <si>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</si>
  <si>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</si>
  <si>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</si>
  <si>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</si>
  <si>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 (Register row 1)</t>
  </si>
  <si>
    <t xml:space="preserve">Paid</t>
  </si>
  <si>
    <t xml:space="preserve">All-Ashwood + flexible bullnose; 144.9 m²</t>
  </si>
  <si>
    <t xml:space="preserve">Chimney + Coping (scaffold)</t>
  </si>
  <si>
    <t xml:space="preserve">Erection complete (17–18 Jul)</t>
  </si>
  <si>
    <t xml:space="preserve">Scaffolder (direct)</t>
  </si>
  <si>
    <t xml:space="preserve">50% of £3,200 combined</t>
  </si>
  <si>
    <t xml:space="preserve">Agreed</t>
  </si>
  <si>
    <t xml:space="preserve">FIRST CASH EVENT. Log in Register as £750 Chimney repair + £850 Coping stones repair</t>
  </si>
  <si>
    <t xml:space="preserve">Strike, after Gate 1 sign-off</t>
  </si>
  <si>
    <t xml:space="preserve">Log in Register as £750 Chimney repair + £850 Coping stones repair</t>
  </si>
  <si>
    <t xml:space="preserve">Phase start</t>
  </si>
  <si>
    <t xml:space="preserve">50% of £3,280 (labour + rubbish)</t>
  </si>
  <si>
    <t xml:space="preserve">Pending Lara's approval</t>
  </si>
  <si>
    <t xml:space="preserve">Scaffold &amp; materials run separately</t>
  </si>
  <si>
    <t xml:space="preserve">Phase completion</t>
  </si>
  <si>
    <t xml:space="preserve">50% of £3,280</t>
  </si>
  <si>
    <t xml:space="preserve">50% of £3,880 (labour + rubbish)</t>
  </si>
  <si>
    <t xml:space="preserve">50% of £3,880</t>
  </si>
  <si>
    <t xml:space="preserve">4–5 stages — triggers TBC with Luke/Lara</t>
  </si>
  <si>
    <t xml:space="preserve">£18,800 total across stages</t>
  </si>
  <si>
    <t xml:space="preserve">Suggested triggers: start / substructure (a) / Gate 2 / substructure (b) / Gate 3 — to be pinned at approval</t>
  </si>
  <si>
    <t xml:space="preserve">Chimney + Coping (materials)</t>
  </si>
  <si>
    <t xml:space="preserve">Periodic — on receipts</t>
  </si>
  <si>
    <t xml:space="preserve">Travis Perkins (Luke's trade account)</t>
  </si>
  <si>
    <t xml:space="preserve">£480 chimney + £650 coping</t>
  </si>
  <si>
    <t xml:space="preserve">Agreed in principle</t>
  </si>
  <si>
    <t xml:space="preserve">Log each clearance in Register against the matching cost centre</t>
  </si>
  <si>
    <t xml:space="preserve">Rainy-day tasks invoiced 100% on completion; named extras as incurred</t>
  </si>
  <si>
    <t xml:space="preserve">LG Building / Travis Perkins</t>
  </si>
  <si>
    <t xml:space="preserve">£5,000 pot — fence labour, soakaway fix, garage drainage, curved-deck extras, cement &amp; bricks</t>
  </si>
  <si>
    <t xml:space="preserve">Each drawdown also logged on Contingency Drawdown sheet</t>
  </si>
  <si>
    <t xml:space="preserve">SCHEDULE TOTAL (all rows):</t>
  </si>
  <si>
    <t xml:space="preserve">Summary tab committed total: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</si>
  <si>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</si>
  <si>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</si>
  <si>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</si>
  <si>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</si>
  <si>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</si>
  <si>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</si>
  <si>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</si>
  <si>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</si>
  <si>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</si>
  <si>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</si>
  <si>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</si>
  <si>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</si>
  <si>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</si>
  <si>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Tubular scaffolding — all four sides of chimney and crown</t>
  </si>
  <si>
    <t xml:space="preserve">Inc VAT</t>
  </si>
  <si>
    <t xml:space="preserve">Paid directly</t>
  </si>
  <si>
    <t xml:space="preserve">Invoiced as combined £3,200: 50% on erection, 50% on strike.</t>
  </si>
  <si>
    <t xml:space="preserve">Materials</t>
  </si>
  <si>
    <t xml:space="preserve">TP account — cleared on receipts</t>
  </si>
  <si>
    <t xml:space="preserve">Rubbish removal</t>
  </si>
  <si>
    <t xml:space="preserve">Labour — remove/reset copings, slate cap, render, lead flashings to parapet rear</t>
  </si>
  <si>
    <t xml:space="preserve">RISK: stone damage on removal could substantially increase cost</t>
  </si>
  <si>
    <t xml:space="preserve">Tubular scaffolding with winch system</t>
  </si>
  <si>
    <t xml:space="preserve">Labour — remove old decking &amp; frame, construct composite frame, install deck to spec</t>
  </si>
  <si>
    <t xml:space="preserve">RISK: pending structure/ground assessment</t>
  </si>
  <si>
    <t xml:space="preserve">Rubbish removal (8-yard skips ×2, possibly 3)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</si>
  <si>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</si>
  <si>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</si>
  <si>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</si>
  <si>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</si>
  <si>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</si>
  <si>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</si>
  <si>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</si>
  <si>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</si>
  <si>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</si>
  <si>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</si>
  <si>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</si>
  <si>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</si>
  <si>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</si>
  <si>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</si>
  <si>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</si>
  <si>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</si>
  <si>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</si>
  <si>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</si>
  <si>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soakaway fix, garage drainage, curved-deck labour, cement &amp; bricks</t>
  </si>
  <si>
    <t xml:space="preserve">As incurred</t>
  </si>
  <si>
    <t xml:space="preserve">Track on Contingency Drawdown sheet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</si>
  <si>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</si>
  <si>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</si>
  <si>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</si>
  <si>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</si>
  <si>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</si>
  <si>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</si>
  <si>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</si>
  <si>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</si>
  <si>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</si>
  <si>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</si>
  <si>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</si>
  <si>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</si>
  <si>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</si>
  <si>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Contingency Drawdown — £5,000 pot (agreed Lara/Luke, 1 Jul 2026)</t>
  </si>
  <si>
    <t xml:space="preserve">Named purposes: fence move/repair labour · soakaway fix before decking · drainage by the garage · additional curved-decking labour · cement &amp; bricks for decking works.</t>
  </si>
  <si>
    <t xml:space="preserve">Opening pot:</t>
  </si>
  <si>
    <t xml:space="preserve">Remaining:</t>
  </si>
  <si>
    <t xml:space="preserve">Date</t>
  </si>
  <si>
    <t xml:space="preserve">Purpose</t>
  </si>
  <si>
    <t xml:space="preserve">Supplier / detail</t>
  </si>
  <si>
    <t xml:space="preserve">Amount £</t>
  </si>
  <si>
    <t xml:space="preserve">Running remaining £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</si>
</sst>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FEF3C7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F0FDFA"/>
      </patternFill>
    </fill>
    <fill>
      <patternFill patternType="solid">
        <fgColor rgb="FF0D9488"/>
        <bgColor rgb="FF339966"/>
      </patternFill>
    </fill>
    <fill>
      <patternFill patternType="solid">
        <fgColor rgb="FFFEF3C7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F3F4F6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46216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18800</v>
      </c>
      <c r="D6" s="10" t="n">
        <f aca="false">SUMIF('Invoice Register'!$B:$B,$A6,'Invoice Register'!$F:$F)</f>
        <v>0</v>
      </c>
      <c r="E6" s="10" t="n">
        <f aca="false">SUMIFS('Invoice Register'!$F:$F,'Invoice Register'!$B:$B,$A6,'Invoice Register'!$G:$G,"&lt;&gt;")</f>
        <v>0</v>
      </c>
      <c r="F6" s="10" t="n">
        <f aca="false">C6-D6</f>
        <v>18800</v>
      </c>
      <c r="G6" s="12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0</v>
      </c>
      <c r="E7" s="10" t="n">
        <f aca="false">SUMIFS('Invoice Register'!$F:$F,'Invoice Register'!$B:$B,$A7,'Invoice Register'!$G:$G,"&lt;&gt;")</f>
        <v>0</v>
      </c>
      <c r="F7" s="10" t="n">
        <f aca="false">C7-D7</f>
        <v>5000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5260</v>
      </c>
      <c r="D8" s="10" t="n">
        <f aca="false">SUMIF('Invoice Register'!$B:$B,$A8,'Invoice Register'!$F:$F)</f>
        <v>0</v>
      </c>
      <c r="E8" s="10" t="n">
        <f aca="false">SUMIFS('Invoice Register'!$F:$F,'Invoice Register'!$B:$B,$A8,'Invoice Register'!$G:$G,"&lt;&gt;")</f>
        <v>0</v>
      </c>
      <c r="F8" s="10" t="n">
        <f aca="false">C8-D8</f>
        <v>5260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6230</v>
      </c>
      <c r="D9" s="10" t="n">
        <f aca="false">SUMIF('Invoice Register'!$B:$B,$A9,'Invoice Register'!$F:$F)</f>
        <v>0</v>
      </c>
      <c r="E9" s="10" t="n">
        <f aca="false">SUMIFS('Invoice Register'!$F:$F,'Invoice Register'!$B:$B,$A9,'Invoice Register'!$G:$G,"&lt;&gt;")</f>
        <v>0</v>
      </c>
      <c r="F9" s="10" t="n">
        <f aca="false">C9-D9</f>
        <v>6230</v>
      </c>
      <c r="G9" s="12" t="s">
        <v>22</v>
      </c>
    </row>
    <row r="10" customFormat="false" ht="15" hidden="false" customHeight="true" outlineLevel="0" collapsed="false">
      <c r="A10" s="13" t="s">
        <v>23</v>
      </c>
      <c r="B10" s="14"/>
      <c r="C10" s="15" t="n">
        <f aca="false">C5+C6+C7</f>
        <v>56028.99</v>
      </c>
      <c r="D10" s="15" t="n">
        <f aca="false">D5+D6+D7</f>
        <v>32228.99</v>
      </c>
      <c r="E10" s="15" t="n">
        <f aca="false">E5+E6+E7</f>
        <v>32228.99</v>
      </c>
      <c r="F10" s="15" t="n">
        <f aca="false">F5+F6+F7</f>
        <v>23800</v>
      </c>
      <c r="G10" s="14"/>
    </row>
    <row r="11" customFormat="false" ht="15" hidden="false" customHeight="true" outlineLevel="0" collapsed="false">
      <c r="A11" s="13" t="s">
        <v>24</v>
      </c>
      <c r="B11" s="14"/>
      <c r="C11" s="15" t="n">
        <f aca="false">C8+C9</f>
        <v>11490</v>
      </c>
      <c r="D11" s="15" t="n">
        <f aca="false">D8+D9</f>
        <v>0</v>
      </c>
      <c r="E11" s="15" t="n">
        <f aca="false">E8+E9</f>
        <v>0</v>
      </c>
      <c r="F11" s="15" t="n">
        <f aca="false">F8+F9</f>
        <v>11490</v>
      </c>
      <c r="G11" s="14"/>
    </row>
    <row r="12" customFormat="false" ht="15" hidden="false" customHeight="true" outlineLevel="0" collapsed="false">
      <c r="A12" s="16" t="s">
        <v>25</v>
      </c>
      <c r="B12" s="17"/>
      <c r="C12" s="18" t="n">
        <f aca="false">C10+C11</f>
        <v>67518.99</v>
      </c>
      <c r="D12" s="18" t="n">
        <f aca="false">D10+D11</f>
        <v>32228.99</v>
      </c>
      <c r="E12" s="18" t="n">
        <f aca="false">E10+E11</f>
        <v>32228.99</v>
      </c>
      <c r="F12" s="18" t="n">
        <f aca="false">F10+F11</f>
        <v>35290</v>
      </c>
      <c r="G12" s="17"/>
    </row>
    <row r="14" customFormat="false" ht="15" hidden="false" customHeight="true" outlineLevel="0" collapsed="false">
      <c r="A14" s="3" t="s">
        <v>26</v>
      </c>
      <c r="B14" s="19" t="n">
        <f aca="false">'Contingency Drawdown'!$D$4</f>
        <v>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27</v>
      </c>
    </row>
    <row r="2" customFormat="false" ht="15" hidden="false" customHeight="true" outlineLevel="0" collapsed="false">
      <c r="A2" s="5" t="s">
        <v>28</v>
      </c>
    </row>
    <row r="4" customFormat="false" ht="15" hidden="false" customHeight="true" outlineLevel="0" collapsed="false">
      <c r="A4" s="6" t="s">
        <v>29</v>
      </c>
      <c r="B4" s="6" t="s">
        <v>3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9</v>
      </c>
    </row>
    <row r="5" customFormat="false" ht="15" hidden="false" customHeight="true" outlineLevel="0" collapsed="false">
      <c r="A5" s="20" t="n">
        <v>1</v>
      </c>
      <c r="B5" s="8" t="s">
        <v>10</v>
      </c>
      <c r="C5" s="8" t="s">
        <v>35</v>
      </c>
      <c r="D5" s="8" t="s">
        <v>11</v>
      </c>
      <c r="E5" s="8" t="s">
        <v>36</v>
      </c>
      <c r="F5" s="21" t="n">
        <v>32228.99</v>
      </c>
      <c r="G5" s="22" t="s">
        <v>37</v>
      </c>
      <c r="H5" s="8" t="s">
        <v>38</v>
      </c>
    </row>
    <row r="6" customFormat="false" ht="15" hidden="false" customHeight="true" outlineLevel="0" collapsed="false">
      <c r="A6" s="20" t="n">
        <v>2</v>
      </c>
      <c r="B6" s="8" t="s">
        <v>39</v>
      </c>
      <c r="C6" s="8" t="s">
        <v>40</v>
      </c>
      <c r="D6" s="8" t="s">
        <v>41</v>
      </c>
      <c r="E6" s="8" t="s">
        <v>42</v>
      </c>
      <c r="F6" s="21" t="n">
        <v>1600</v>
      </c>
      <c r="G6" s="23" t="s">
        <v>43</v>
      </c>
      <c r="H6" s="8" t="s">
        <v>44</v>
      </c>
    </row>
    <row r="7" customFormat="false" ht="15" hidden="false" customHeight="true" outlineLevel="0" collapsed="false">
      <c r="A7" s="20" t="n">
        <v>3</v>
      </c>
      <c r="B7" s="8" t="s">
        <v>39</v>
      </c>
      <c r="C7" s="8" t="s">
        <v>45</v>
      </c>
      <c r="D7" s="8" t="s">
        <v>41</v>
      </c>
      <c r="E7" s="8" t="s">
        <v>42</v>
      </c>
      <c r="F7" s="21" t="n">
        <v>1600</v>
      </c>
      <c r="G7" s="23" t="s">
        <v>43</v>
      </c>
      <c r="H7" s="8" t="s">
        <v>46</v>
      </c>
    </row>
    <row r="8" customFormat="false" ht="15" hidden="false" customHeight="true" outlineLevel="0" collapsed="false">
      <c r="A8" s="20" t="n">
        <v>4</v>
      </c>
      <c r="B8" s="8" t="s">
        <v>19</v>
      </c>
      <c r="C8" s="8" t="s">
        <v>47</v>
      </c>
      <c r="D8" s="8" t="s">
        <v>14</v>
      </c>
      <c r="E8" s="8" t="s">
        <v>48</v>
      </c>
      <c r="F8" s="21" t="n">
        <v>1640</v>
      </c>
      <c r="G8" s="24" t="s">
        <v>49</v>
      </c>
      <c r="H8" s="8" t="s">
        <v>50</v>
      </c>
    </row>
    <row r="9" customFormat="false" ht="15" hidden="false" customHeight="true" outlineLevel="0" collapsed="false">
      <c r="A9" s="20" t="n">
        <v>5</v>
      </c>
      <c r="B9" s="8" t="s">
        <v>19</v>
      </c>
      <c r="C9" s="8" t="s">
        <v>51</v>
      </c>
      <c r="D9" s="8" t="s">
        <v>14</v>
      </c>
      <c r="E9" s="8" t="s">
        <v>52</v>
      </c>
      <c r="F9" s="21" t="n">
        <v>1640</v>
      </c>
      <c r="G9" s="24" t="s">
        <v>49</v>
      </c>
      <c r="H9" s="8"/>
    </row>
    <row r="10" customFormat="false" ht="15" hidden="false" customHeight="true" outlineLevel="0" collapsed="false">
      <c r="A10" s="20" t="n">
        <v>6</v>
      </c>
      <c r="B10" s="8" t="s">
        <v>21</v>
      </c>
      <c r="C10" s="8" t="s">
        <v>47</v>
      </c>
      <c r="D10" s="8" t="s">
        <v>14</v>
      </c>
      <c r="E10" s="8" t="s">
        <v>53</v>
      </c>
      <c r="F10" s="21" t="n">
        <v>1940</v>
      </c>
      <c r="G10" s="24" t="s">
        <v>49</v>
      </c>
      <c r="H10" s="8"/>
    </row>
    <row r="11" customFormat="false" ht="41.25" hidden="false" customHeight="true" outlineLevel="0" collapsed="false">
      <c r="A11" s="20" t="n">
        <v>7</v>
      </c>
      <c r="B11" s="8" t="s">
        <v>21</v>
      </c>
      <c r="C11" s="8" t="s">
        <v>51</v>
      </c>
      <c r="D11" s="8" t="s">
        <v>14</v>
      </c>
      <c r="E11" s="8" t="s">
        <v>54</v>
      </c>
      <c r="F11" s="21" t="n">
        <v>1940</v>
      </c>
      <c r="G11" s="24" t="s">
        <v>49</v>
      </c>
      <c r="H11" s="8"/>
    </row>
    <row r="12" customFormat="false" ht="27.75" hidden="false" customHeight="true" outlineLevel="0" collapsed="false">
      <c r="A12" s="20" t="n">
        <v>8</v>
      </c>
      <c r="B12" s="8" t="s">
        <v>13</v>
      </c>
      <c r="C12" s="8" t="s">
        <v>55</v>
      </c>
      <c r="D12" s="8" t="s">
        <v>14</v>
      </c>
      <c r="E12" s="8" t="s">
        <v>56</v>
      </c>
      <c r="F12" s="21" t="n">
        <v>18800</v>
      </c>
      <c r="G12" s="24" t="s">
        <v>49</v>
      </c>
      <c r="H12" s="8" t="s">
        <v>57</v>
      </c>
    </row>
    <row r="13" customFormat="false" ht="27.75" hidden="false" customHeight="true" outlineLevel="0" collapsed="false">
      <c r="A13" s="20" t="n">
        <v>9</v>
      </c>
      <c r="B13" s="8" t="s">
        <v>58</v>
      </c>
      <c r="C13" s="8" t="s">
        <v>59</v>
      </c>
      <c r="D13" s="8" t="s">
        <v>60</v>
      </c>
      <c r="E13" s="8" t="s">
        <v>61</v>
      </c>
      <c r="F13" s="21" t="n">
        <v>1130</v>
      </c>
      <c r="G13" s="23" t="s">
        <v>62</v>
      </c>
      <c r="H13" s="8" t="s">
        <v>63</v>
      </c>
    </row>
    <row r="14" customFormat="false" ht="15" hidden="false" customHeight="true" outlineLevel="0" collapsed="false">
      <c r="A14" s="20" t="n">
        <v>10</v>
      </c>
      <c r="B14" s="8" t="s">
        <v>16</v>
      </c>
      <c r="C14" s="8" t="s">
        <v>64</v>
      </c>
      <c r="D14" s="8" t="s">
        <v>65</v>
      </c>
      <c r="E14" s="8" t="s">
        <v>66</v>
      </c>
      <c r="F14" s="21" t="n">
        <v>5000</v>
      </c>
      <c r="G14" s="24" t="s">
        <v>49</v>
      </c>
      <c r="H14" s="8" t="s">
        <v>67</v>
      </c>
    </row>
    <row r="15" customFormat="false" ht="15" hidden="false" customHeight="false" outlineLevel="0" collapsed="false">
      <c r="E15" s="25" t="s">
        <v>68</v>
      </c>
      <c r="F15" s="26" t="n">
        <f aca="false">SUM(F5:F14)</f>
        <v>67518.99</v>
      </c>
    </row>
    <row r="16" customFormat="false" ht="15" hidden="false" customHeight="false" outlineLevel="0" collapsed="false">
      <c r="E16" s="27" t="s">
        <v>69</v>
      </c>
      <c r="F16" s="28" t="n">
        <f aca="false">Summary!$C$12</f>
        <v>67518.99</v>
      </c>
    </row>
    <row r="17" customFormat="false" ht="15" hidden="false" customHeight="false" outlineLevel="0" collapsed="false">
      <c r="E17" s="27" t="s">
        <v>70</v>
      </c>
      <c r="F17" s="28" t="n">
        <f aca="false">F15-F16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71</v>
      </c>
    </row>
    <row r="2" customFormat="false" ht="15" hidden="false" customHeight="true" outlineLevel="0" collapsed="false">
      <c r="A2" s="5" t="s">
        <v>72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73</v>
      </c>
      <c r="D4" s="6" t="s">
        <v>74</v>
      </c>
      <c r="E4" s="6" t="s">
        <v>75</v>
      </c>
      <c r="F4" s="6" t="s">
        <v>76</v>
      </c>
      <c r="G4" s="6" t="s">
        <v>77</v>
      </c>
      <c r="H4" s="6" t="s">
        <v>78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79</v>
      </c>
      <c r="C5" s="8" t="s">
        <v>80</v>
      </c>
      <c r="D5" s="29"/>
      <c r="E5" s="29"/>
      <c r="F5" s="21" t="n">
        <v>3200</v>
      </c>
      <c r="G5" s="29" t="s">
        <v>81</v>
      </c>
      <c r="H5" s="8" t="s">
        <v>82</v>
      </c>
      <c r="I5" s="11"/>
    </row>
    <row r="6" customFormat="false" ht="15" hidden="false" customHeight="true" outlineLevel="0" collapsed="false">
      <c r="A6" s="8" t="s">
        <v>19</v>
      </c>
      <c r="B6" s="8" t="s">
        <v>41</v>
      </c>
      <c r="C6" s="8" t="s">
        <v>83</v>
      </c>
      <c r="D6" s="29"/>
      <c r="E6" s="29"/>
      <c r="F6" s="21" t="n">
        <v>1500</v>
      </c>
      <c r="G6" s="29" t="s">
        <v>84</v>
      </c>
      <c r="H6" s="8" t="s">
        <v>85</v>
      </c>
      <c r="I6" s="11" t="s">
        <v>86</v>
      </c>
    </row>
    <row r="7" customFormat="false" ht="15" hidden="false" customHeight="true" outlineLevel="0" collapsed="false">
      <c r="A7" s="8" t="s">
        <v>19</v>
      </c>
      <c r="B7" s="8" t="s">
        <v>60</v>
      </c>
      <c r="C7" s="8" t="s">
        <v>87</v>
      </c>
      <c r="D7" s="29"/>
      <c r="E7" s="29"/>
      <c r="F7" s="21" t="n">
        <v>480</v>
      </c>
      <c r="G7" s="29" t="s">
        <v>84</v>
      </c>
      <c r="H7" s="8" t="s">
        <v>88</v>
      </c>
      <c r="I7" s="11"/>
    </row>
    <row r="8" customFormat="false" ht="15" hidden="false" customHeight="true" outlineLevel="0" collapsed="false">
      <c r="A8" s="8" t="s">
        <v>19</v>
      </c>
      <c r="B8" s="8" t="s">
        <v>79</v>
      </c>
      <c r="C8" s="8" t="s">
        <v>89</v>
      </c>
      <c r="D8" s="29"/>
      <c r="E8" s="29"/>
      <c r="F8" s="21" t="n">
        <v>80</v>
      </c>
      <c r="G8" s="29" t="s">
        <v>84</v>
      </c>
      <c r="H8" s="8" t="s">
        <v>82</v>
      </c>
      <c r="I8" s="11"/>
    </row>
    <row r="9" customFormat="false" ht="27.75" hidden="false" customHeight="true" outlineLevel="0" collapsed="false">
      <c r="A9" s="8" t="s">
        <v>21</v>
      </c>
      <c r="B9" s="8" t="s">
        <v>79</v>
      </c>
      <c r="C9" s="8" t="s">
        <v>90</v>
      </c>
      <c r="D9" s="29"/>
      <c r="E9" s="29"/>
      <c r="F9" s="21" t="n">
        <v>3800</v>
      </c>
      <c r="G9" s="29" t="s">
        <v>81</v>
      </c>
      <c r="H9" s="8" t="s">
        <v>82</v>
      </c>
      <c r="I9" s="12" t="s">
        <v>91</v>
      </c>
    </row>
    <row r="10" customFormat="false" ht="15" hidden="false" customHeight="true" outlineLevel="0" collapsed="false">
      <c r="A10" s="8" t="s">
        <v>21</v>
      </c>
      <c r="B10" s="8" t="s">
        <v>41</v>
      </c>
      <c r="C10" s="8" t="s">
        <v>92</v>
      </c>
      <c r="D10" s="29"/>
      <c r="E10" s="29"/>
      <c r="F10" s="21" t="n">
        <v>1700</v>
      </c>
      <c r="G10" s="29" t="s">
        <v>84</v>
      </c>
      <c r="H10" s="8" t="s">
        <v>85</v>
      </c>
      <c r="I10" s="11" t="s">
        <v>86</v>
      </c>
    </row>
    <row r="11" customFormat="false" ht="15" hidden="false" customHeight="true" outlineLevel="0" collapsed="false">
      <c r="A11" s="8" t="s">
        <v>21</v>
      </c>
      <c r="B11" s="8" t="s">
        <v>60</v>
      </c>
      <c r="C11" s="8" t="s">
        <v>87</v>
      </c>
      <c r="D11" s="29"/>
      <c r="E11" s="29"/>
      <c r="F11" s="21" t="n">
        <v>650</v>
      </c>
      <c r="G11" s="29" t="s">
        <v>84</v>
      </c>
      <c r="H11" s="8" t="s">
        <v>88</v>
      </c>
      <c r="I11" s="11"/>
    </row>
    <row r="12" customFormat="false" ht="15" hidden="false" customHeight="true" outlineLevel="0" collapsed="false">
      <c r="A12" s="8" t="s">
        <v>21</v>
      </c>
      <c r="B12" s="8" t="s">
        <v>79</v>
      </c>
      <c r="C12" s="8" t="s">
        <v>89</v>
      </c>
      <c r="D12" s="29"/>
      <c r="E12" s="29"/>
      <c r="F12" s="21" t="n">
        <v>80</v>
      </c>
      <c r="G12" s="29" t="s">
        <v>84</v>
      </c>
      <c r="H12" s="8" t="s">
        <v>82</v>
      </c>
      <c r="I12" s="11"/>
    </row>
    <row r="13" customFormat="false" ht="27.75" hidden="false" customHeight="true" outlineLevel="0" collapsed="false">
      <c r="A13" s="8" t="s">
        <v>13</v>
      </c>
      <c r="B13" s="8" t="s">
        <v>79</v>
      </c>
      <c r="C13" s="8" t="s">
        <v>93</v>
      </c>
      <c r="D13" s="29"/>
      <c r="E13" s="29"/>
      <c r="F13" s="21" t="n">
        <v>17600</v>
      </c>
      <c r="G13" s="29" t="s">
        <v>81</v>
      </c>
      <c r="H13" s="8" t="s">
        <v>82</v>
      </c>
      <c r="I13" s="12" t="s">
        <v>94</v>
      </c>
    </row>
    <row r="14" customFormat="false" ht="15" hidden="false" customHeight="true" outlineLevel="0" collapsed="false">
      <c r="A14" s="8" t="s">
        <v>13</v>
      </c>
      <c r="B14" s="8" t="s">
        <v>79</v>
      </c>
      <c r="C14" s="8" t="s">
        <v>95</v>
      </c>
      <c r="D14" s="29"/>
      <c r="E14" s="29"/>
      <c r="F14" s="21" t="n">
        <v>1200</v>
      </c>
      <c r="G14" s="29" t="s">
        <v>84</v>
      </c>
      <c r="H14" s="8" t="s">
        <v>82</v>
      </c>
      <c r="I14" s="11"/>
    </row>
    <row r="15" customFormat="false" ht="15" hidden="false" customHeight="true" outlineLevel="0" collapsed="false">
      <c r="A15" s="8" t="s">
        <v>10</v>
      </c>
      <c r="B15" s="8" t="s">
        <v>96</v>
      </c>
      <c r="C15" s="8" t="s">
        <v>97</v>
      </c>
      <c r="D15" s="29" t="n">
        <v>230</v>
      </c>
      <c r="E15" s="21" t="n">
        <v>66.49</v>
      </c>
      <c r="F15" s="21" t="n">
        <v>15292.7</v>
      </c>
      <c r="G15" s="29" t="s">
        <v>98</v>
      </c>
      <c r="H15" s="8" t="s">
        <v>99</v>
      </c>
      <c r="I15" s="11"/>
    </row>
    <row r="16" customFormat="false" ht="15" hidden="false" customHeight="true" outlineLevel="0" collapsed="false">
      <c r="A16" s="8" t="s">
        <v>10</v>
      </c>
      <c r="B16" s="8" t="s">
        <v>96</v>
      </c>
      <c r="C16" s="8" t="s">
        <v>100</v>
      </c>
      <c r="D16" s="29" t="n">
        <v>18</v>
      </c>
      <c r="E16" s="21" t="n">
        <v>58.09</v>
      </c>
      <c r="F16" s="21" t="n">
        <v>1045.62</v>
      </c>
      <c r="G16" s="29" t="s">
        <v>98</v>
      </c>
      <c r="H16" s="8" t="s">
        <v>99</v>
      </c>
      <c r="I16" s="11"/>
    </row>
    <row r="17" customFormat="false" ht="27.75" hidden="false" customHeight="true" outlineLevel="0" collapsed="false">
      <c r="A17" s="8" t="s">
        <v>10</v>
      </c>
      <c r="B17" s="8" t="s">
        <v>96</v>
      </c>
      <c r="C17" s="8" t="s">
        <v>101</v>
      </c>
      <c r="D17" s="29" t="n">
        <v>15</v>
      </c>
      <c r="E17" s="21" t="n">
        <v>72.25</v>
      </c>
      <c r="F17" s="21" t="n">
        <v>1083.75</v>
      </c>
      <c r="G17" s="29" t="s">
        <v>98</v>
      </c>
      <c r="H17" s="8" t="s">
        <v>99</v>
      </c>
      <c r="I17" s="11" t="s">
        <v>102</v>
      </c>
    </row>
    <row r="18" customFormat="false" ht="15" hidden="false" customHeight="true" outlineLevel="0" collapsed="false">
      <c r="A18" s="8" t="s">
        <v>10</v>
      </c>
      <c r="B18" s="8" t="s">
        <v>96</v>
      </c>
      <c r="C18" s="8" t="s">
        <v>103</v>
      </c>
      <c r="D18" s="29" t="n">
        <v>15</v>
      </c>
      <c r="E18" s="21" t="n">
        <v>59.89</v>
      </c>
      <c r="F18" s="21" t="n">
        <v>898.35</v>
      </c>
      <c r="G18" s="29" t="s">
        <v>98</v>
      </c>
      <c r="H18" s="8" t="s">
        <v>99</v>
      </c>
      <c r="I18" s="11"/>
    </row>
    <row r="19" customFormat="false" ht="15" hidden="false" customHeight="true" outlineLevel="0" collapsed="false">
      <c r="A19" s="8" t="s">
        <v>10</v>
      </c>
      <c r="B19" s="8" t="s">
        <v>96</v>
      </c>
      <c r="C19" s="8" t="s">
        <v>104</v>
      </c>
      <c r="D19" s="29" t="n">
        <v>24</v>
      </c>
      <c r="E19" s="21" t="n">
        <v>32.08</v>
      </c>
      <c r="F19" s="21" t="n">
        <v>770</v>
      </c>
      <c r="G19" s="29" t="s">
        <v>98</v>
      </c>
      <c r="H19" s="8" t="s">
        <v>99</v>
      </c>
      <c r="I19" s="11"/>
    </row>
    <row r="20" customFormat="false" ht="15" hidden="false" customHeight="true" outlineLevel="0" collapsed="false">
      <c r="A20" s="8" t="s">
        <v>10</v>
      </c>
      <c r="B20" s="8" t="s">
        <v>96</v>
      </c>
      <c r="C20" s="8" t="s">
        <v>105</v>
      </c>
      <c r="D20" s="29" t="n">
        <v>6</v>
      </c>
      <c r="E20" s="21" t="n">
        <v>10.25</v>
      </c>
      <c r="F20" s="21" t="n">
        <v>61.5</v>
      </c>
      <c r="G20" s="29" t="s">
        <v>98</v>
      </c>
      <c r="H20" s="8" t="s">
        <v>99</v>
      </c>
      <c r="I20" s="11"/>
    </row>
    <row r="21" customFormat="false" ht="27.75" hidden="false" customHeight="true" outlineLevel="0" collapsed="false">
      <c r="A21" s="8" t="s">
        <v>10</v>
      </c>
      <c r="B21" s="8" t="s">
        <v>96</v>
      </c>
      <c r="C21" s="8" t="s">
        <v>106</v>
      </c>
      <c r="D21" s="29" t="n">
        <v>266</v>
      </c>
      <c r="E21" s="21" t="n">
        <v>28.4</v>
      </c>
      <c r="F21" s="21" t="n">
        <v>7554.4</v>
      </c>
      <c r="G21" s="29" t="s">
        <v>98</v>
      </c>
      <c r="H21" s="8" t="s">
        <v>99</v>
      </c>
      <c r="I21" s="11" t="s">
        <v>107</v>
      </c>
    </row>
    <row r="22" customFormat="false" ht="15" hidden="false" customHeight="true" outlineLevel="0" collapsed="false">
      <c r="A22" s="8" t="s">
        <v>10</v>
      </c>
      <c r="B22" s="8" t="s">
        <v>96</v>
      </c>
      <c r="C22" s="8" t="s">
        <v>108</v>
      </c>
      <c r="D22" s="29" t="n">
        <v>16</v>
      </c>
      <c r="E22" s="21" t="n">
        <v>7.87</v>
      </c>
      <c r="F22" s="21" t="n">
        <v>125.92</v>
      </c>
      <c r="G22" s="29" t="s">
        <v>98</v>
      </c>
      <c r="H22" s="8" t="s">
        <v>99</v>
      </c>
      <c r="I22" s="11"/>
    </row>
    <row r="23" customFormat="false" ht="15" hidden="false" customHeight="true" outlineLevel="0" collapsed="false">
      <c r="A23" s="8" t="s">
        <v>10</v>
      </c>
      <c r="B23" s="8" t="s">
        <v>96</v>
      </c>
      <c r="C23" s="8" t="s">
        <v>109</v>
      </c>
      <c r="D23" s="29" t="n">
        <v>1</v>
      </c>
      <c r="E23" s="21" t="n">
        <v>15</v>
      </c>
      <c r="F23" s="21" t="n">
        <v>15</v>
      </c>
      <c r="G23" s="29" t="s">
        <v>98</v>
      </c>
      <c r="H23" s="8" t="s">
        <v>99</v>
      </c>
      <c r="I23" s="11"/>
    </row>
    <row r="24" customFormat="false" ht="15" hidden="false" customHeight="true" outlineLevel="0" collapsed="false">
      <c r="A24" s="8" t="s">
        <v>10</v>
      </c>
      <c r="B24" s="8" t="s">
        <v>96</v>
      </c>
      <c r="C24" s="8" t="s">
        <v>110</v>
      </c>
      <c r="D24" s="29" t="n">
        <v>1</v>
      </c>
      <c r="E24" s="21" t="n">
        <v>10.25</v>
      </c>
      <c r="F24" s="21" t="n">
        <v>10.25</v>
      </c>
      <c r="G24" s="29" t="s">
        <v>98</v>
      </c>
      <c r="H24" s="8" t="s">
        <v>99</v>
      </c>
      <c r="I24" s="11"/>
    </row>
    <row r="25" customFormat="false" ht="15" hidden="false" customHeight="true" outlineLevel="0" collapsed="false">
      <c r="A25" s="8" t="s">
        <v>10</v>
      </c>
      <c r="B25" s="8" t="s">
        <v>96</v>
      </c>
      <c r="C25" s="8" t="s">
        <v>111</v>
      </c>
      <c r="D25" s="29"/>
      <c r="E25" s="29"/>
      <c r="F25" s="21" t="n">
        <v>5371.5</v>
      </c>
      <c r="G25" s="29" t="s">
        <v>77</v>
      </c>
      <c r="H25" s="8" t="s">
        <v>99</v>
      </c>
      <c r="I25" s="11" t="s">
        <v>112</v>
      </c>
    </row>
    <row r="26" customFormat="false" ht="27.75" hidden="false" customHeight="true" outlineLevel="0" collapsed="false">
      <c r="A26" s="8" t="s">
        <v>16</v>
      </c>
      <c r="B26" s="8" t="s">
        <v>113</v>
      </c>
      <c r="C26" s="8" t="s">
        <v>114</v>
      </c>
      <c r="D26" s="29"/>
      <c r="E26" s="29"/>
      <c r="F26" s="21" t="n">
        <v>5000</v>
      </c>
      <c r="G26" s="29" t="s">
        <v>17</v>
      </c>
      <c r="H26" s="8" t="s">
        <v>115</v>
      </c>
      <c r="I26" s="11" t="s">
        <v>116</v>
      </c>
    </row>
    <row r="27" customFormat="false" ht="15" hidden="false" customHeight="true" outlineLevel="0" collapsed="false">
      <c r="C27" s="30" t="s">
        <v>117</v>
      </c>
      <c r="F27" s="31" t="n">
        <f aca="false">SUM(F5:F26)</f>
        <v>67518.99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118</v>
      </c>
    </row>
    <row r="2" customFormat="false" ht="15" hidden="false" customHeight="true" outlineLevel="0" collapsed="false">
      <c r="A2" s="5" t="s">
        <v>119</v>
      </c>
    </row>
    <row r="4" customFormat="false" ht="15" hidden="false" customHeight="true" outlineLevel="0" collapsed="false">
      <c r="A4" s="6" t="s">
        <v>120</v>
      </c>
      <c r="B4" s="6" t="s">
        <v>3</v>
      </c>
      <c r="C4" s="6" t="s">
        <v>4</v>
      </c>
      <c r="D4" s="6" t="s">
        <v>121</v>
      </c>
      <c r="E4" s="6" t="s">
        <v>122</v>
      </c>
      <c r="F4" s="6" t="s">
        <v>123</v>
      </c>
      <c r="G4" s="6" t="s">
        <v>124</v>
      </c>
      <c r="H4" s="6" t="s">
        <v>125</v>
      </c>
      <c r="I4" s="6" t="s">
        <v>9</v>
      </c>
    </row>
    <row r="5" customFormat="false" ht="27.75" hidden="false" customHeight="true" outlineLevel="0" collapsed="false">
      <c r="A5" s="32" t="n">
        <v>46212</v>
      </c>
      <c r="B5" s="8" t="s">
        <v>10</v>
      </c>
      <c r="C5" s="8" t="s">
        <v>11</v>
      </c>
      <c r="D5" s="8" t="s">
        <v>126</v>
      </c>
      <c r="E5" s="8" t="s">
        <v>127</v>
      </c>
      <c r="F5" s="21" t="n">
        <v>32228.99</v>
      </c>
      <c r="G5" s="32" t="n">
        <v>46212</v>
      </c>
      <c r="H5" s="20" t="s">
        <v>128</v>
      </c>
      <c r="I5" s="8" t="s">
        <v>129</v>
      </c>
    </row>
    <row r="6" customFormat="false" ht="15" hidden="false" customHeight="true" outlineLevel="0" collapsed="false">
      <c r="A6" s="33"/>
      <c r="B6" s="34"/>
      <c r="C6" s="34"/>
      <c r="D6" s="34"/>
      <c r="E6" s="34"/>
      <c r="F6" s="35"/>
      <c r="G6" s="33"/>
      <c r="H6" s="34"/>
      <c r="I6" s="34"/>
    </row>
    <row r="7" customFormat="false" ht="15" hidden="false" customHeight="true" outlineLevel="0" collapsed="false">
      <c r="A7" s="33"/>
      <c r="B7" s="34"/>
      <c r="C7" s="34"/>
      <c r="D7" s="34"/>
      <c r="E7" s="34"/>
      <c r="F7" s="35"/>
      <c r="G7" s="33"/>
      <c r="H7" s="34"/>
      <c r="I7" s="34"/>
    </row>
    <row r="8" customFormat="false" ht="15" hidden="false" customHeight="true" outlineLevel="0" collapsed="false">
      <c r="A8" s="33"/>
      <c r="B8" s="34"/>
      <c r="C8" s="34"/>
      <c r="D8" s="34"/>
      <c r="E8" s="34"/>
      <c r="F8" s="35"/>
      <c r="G8" s="33"/>
      <c r="H8" s="34"/>
      <c r="I8" s="34"/>
    </row>
    <row r="9" customFormat="false" ht="15" hidden="false" customHeight="true" outlineLevel="0" collapsed="false">
      <c r="A9" s="33"/>
      <c r="B9" s="34"/>
      <c r="C9" s="34"/>
      <c r="D9" s="34"/>
      <c r="E9" s="34"/>
      <c r="F9" s="35"/>
      <c r="G9" s="33"/>
      <c r="H9" s="34"/>
      <c r="I9" s="34"/>
    </row>
    <row r="10" customFormat="false" ht="15" hidden="false" customHeight="true" outlineLevel="0" collapsed="false">
      <c r="A10" s="33"/>
      <c r="B10" s="34"/>
      <c r="C10" s="34"/>
      <c r="D10" s="34"/>
      <c r="E10" s="34"/>
      <c r="F10" s="35"/>
      <c r="G10" s="33"/>
      <c r="H10" s="34"/>
      <c r="I10" s="34"/>
    </row>
    <row r="11" customFormat="false" ht="15" hidden="false" customHeight="true" outlineLevel="0" collapsed="false">
      <c r="A11" s="33"/>
      <c r="B11" s="34"/>
      <c r="C11" s="34"/>
      <c r="D11" s="34"/>
      <c r="E11" s="34"/>
      <c r="F11" s="35"/>
      <c r="G11" s="33"/>
      <c r="H11" s="34"/>
      <c r="I11" s="34"/>
    </row>
    <row r="12" customFormat="false" ht="15" hidden="false" customHeight="true" outlineLevel="0" collapsed="false">
      <c r="A12" s="33"/>
      <c r="B12" s="34"/>
      <c r="C12" s="34"/>
      <c r="D12" s="34"/>
      <c r="E12" s="34"/>
      <c r="F12" s="35"/>
      <c r="G12" s="33"/>
      <c r="H12" s="34"/>
      <c r="I12" s="34"/>
    </row>
    <row r="13" customFormat="false" ht="15" hidden="false" customHeight="true" outlineLevel="0" collapsed="false">
      <c r="A13" s="33"/>
      <c r="B13" s="34"/>
      <c r="C13" s="34"/>
      <c r="D13" s="34"/>
      <c r="E13" s="34"/>
      <c r="F13" s="35"/>
      <c r="G13" s="33"/>
      <c r="H13" s="34"/>
      <c r="I13" s="34"/>
    </row>
    <row r="14" customFormat="false" ht="15" hidden="false" customHeight="true" outlineLevel="0" collapsed="false">
      <c r="A14" s="33"/>
      <c r="B14" s="34"/>
      <c r="C14" s="34"/>
      <c r="D14" s="34"/>
      <c r="E14" s="34"/>
      <c r="F14" s="35"/>
      <c r="G14" s="33"/>
      <c r="H14" s="34"/>
      <c r="I14" s="34"/>
    </row>
    <row r="15" customFormat="false" ht="15" hidden="false" customHeight="true" outlineLevel="0" collapsed="false">
      <c r="A15" s="33"/>
      <c r="B15" s="34"/>
      <c r="C15" s="34"/>
      <c r="D15" s="34"/>
      <c r="E15" s="34"/>
      <c r="F15" s="35"/>
      <c r="G15" s="33"/>
      <c r="H15" s="34"/>
      <c r="I15" s="34"/>
    </row>
    <row r="16" customFormat="false" ht="15" hidden="false" customHeight="true" outlineLevel="0" collapsed="false">
      <c r="A16" s="33"/>
      <c r="B16" s="34"/>
      <c r="C16" s="34"/>
      <c r="D16" s="34"/>
      <c r="E16" s="34"/>
      <c r="F16" s="35"/>
      <c r="G16" s="33"/>
      <c r="H16" s="34"/>
      <c r="I16" s="34"/>
    </row>
    <row r="17" customFormat="false" ht="15" hidden="false" customHeight="true" outlineLevel="0" collapsed="false">
      <c r="A17" s="33"/>
      <c r="B17" s="34"/>
      <c r="C17" s="34"/>
      <c r="D17" s="34"/>
      <c r="E17" s="34"/>
      <c r="F17" s="35"/>
      <c r="G17" s="33"/>
      <c r="H17" s="34"/>
      <c r="I17" s="34"/>
    </row>
    <row r="18" customFormat="false" ht="15" hidden="false" customHeight="true" outlineLevel="0" collapsed="false">
      <c r="A18" s="33"/>
      <c r="B18" s="34"/>
      <c r="C18" s="34"/>
      <c r="D18" s="34"/>
      <c r="E18" s="34"/>
      <c r="F18" s="35"/>
      <c r="G18" s="33"/>
      <c r="H18" s="34"/>
      <c r="I18" s="34"/>
    </row>
    <row r="19" customFormat="false" ht="15" hidden="false" customHeight="true" outlineLevel="0" collapsed="false">
      <c r="A19" s="33"/>
      <c r="B19" s="34"/>
      <c r="C19" s="34"/>
      <c r="D19" s="34"/>
      <c r="E19" s="34"/>
      <c r="F19" s="35"/>
      <c r="G19" s="33"/>
      <c r="H19" s="34"/>
      <c r="I19" s="34"/>
    </row>
    <row r="20" customFormat="false" ht="15" hidden="false" customHeight="true" outlineLevel="0" collapsed="false">
      <c r="A20" s="33"/>
      <c r="B20" s="34"/>
      <c r="C20" s="34"/>
      <c r="D20" s="34"/>
      <c r="E20" s="34"/>
      <c r="F20" s="35"/>
      <c r="G20" s="33"/>
      <c r="H20" s="34"/>
      <c r="I20" s="34"/>
    </row>
    <row r="21" customFormat="false" ht="15" hidden="false" customHeight="true" outlineLevel="0" collapsed="false">
      <c r="A21" s="33"/>
      <c r="B21" s="34"/>
      <c r="C21" s="34"/>
      <c r="D21" s="34"/>
      <c r="E21" s="34"/>
      <c r="F21" s="35"/>
      <c r="G21" s="33"/>
      <c r="H21" s="34"/>
      <c r="I21" s="34"/>
    </row>
    <row r="22" customFormat="false" ht="15" hidden="false" customHeight="true" outlineLevel="0" collapsed="false">
      <c r="A22" s="33"/>
      <c r="B22" s="34"/>
      <c r="C22" s="34"/>
      <c r="D22" s="34"/>
      <c r="E22" s="34"/>
      <c r="F22" s="35"/>
      <c r="G22" s="33"/>
      <c r="H22" s="34"/>
      <c r="I22" s="34"/>
    </row>
    <row r="23" customFormat="false" ht="15" hidden="false" customHeight="true" outlineLevel="0" collapsed="false">
      <c r="A23" s="33"/>
      <c r="B23" s="34"/>
      <c r="C23" s="34"/>
      <c r="D23" s="34"/>
      <c r="E23" s="34"/>
      <c r="F23" s="35"/>
      <c r="G23" s="33"/>
      <c r="H23" s="34"/>
      <c r="I23" s="34"/>
    </row>
    <row r="24" customFormat="false" ht="15" hidden="false" customHeight="true" outlineLevel="0" collapsed="false">
      <c r="A24" s="33"/>
      <c r="B24" s="34"/>
      <c r="C24" s="34"/>
      <c r="D24" s="34"/>
      <c r="E24" s="34"/>
      <c r="F24" s="35"/>
      <c r="G24" s="33"/>
      <c r="H24" s="34"/>
      <c r="I24" s="34"/>
    </row>
    <row r="25" customFormat="false" ht="15" hidden="false" customHeight="true" outlineLevel="0" collapsed="false">
      <c r="A25" s="33"/>
      <c r="B25" s="34"/>
      <c r="C25" s="34"/>
      <c r="D25" s="34"/>
      <c r="E25" s="34"/>
      <c r="F25" s="35"/>
      <c r="G25" s="33"/>
      <c r="H25" s="34"/>
      <c r="I25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130</v>
      </c>
    </row>
    <row r="2" customFormat="false" ht="15" hidden="false" customHeight="true" outlineLevel="0" collapsed="false">
      <c r="A2" s="5" t="s">
        <v>131</v>
      </c>
    </row>
    <row r="4" customFormat="false" ht="15.75" hidden="false" customHeight="true" outlineLevel="0" collapsed="false">
      <c r="A4" s="3" t="s">
        <v>132</v>
      </c>
      <c r="B4" s="36" t="n">
        <v>5000</v>
      </c>
      <c r="C4" s="3" t="s">
        <v>133</v>
      </c>
      <c r="D4" s="37" t="n">
        <f aca="false">B4-SUM(D8:D40)</f>
        <v>5000</v>
      </c>
    </row>
    <row r="7" customFormat="false" ht="15" hidden="false" customHeight="true" outlineLevel="0" collapsed="false">
      <c r="A7" s="6" t="s">
        <v>134</v>
      </c>
      <c r="B7" s="6" t="s">
        <v>135</v>
      </c>
      <c r="C7" s="6" t="s">
        <v>136</v>
      </c>
      <c r="D7" s="6" t="s">
        <v>137</v>
      </c>
      <c r="E7" s="6" t="s">
        <v>138</v>
      </c>
    </row>
    <row r="8" customFormat="false" ht="15" hidden="false" customHeight="true" outlineLevel="0" collapsed="false">
      <c r="A8" s="33"/>
      <c r="B8" s="34"/>
      <c r="C8" s="34"/>
      <c r="D8" s="35"/>
      <c r="E8" s="10" t="str">
        <f aca="false">IF(D8="","",$B$4-SUM($D$8:D8))</f>
        <v/>
      </c>
    </row>
    <row r="9" customFormat="false" ht="15" hidden="false" customHeight="true" outlineLevel="0" collapsed="false">
      <c r="A9" s="33"/>
      <c r="B9" s="34"/>
      <c r="C9" s="34"/>
      <c r="D9" s="35"/>
      <c r="E9" s="10" t="str">
        <f aca="false">IF(D9="","",$B$4-SUM($D$8:D9))</f>
        <v/>
      </c>
    </row>
    <row r="10" customFormat="false" ht="15" hidden="false" customHeight="true" outlineLevel="0" collapsed="false">
      <c r="A10" s="33"/>
      <c r="B10" s="34"/>
      <c r="C10" s="34"/>
      <c r="D10" s="35"/>
      <c r="E10" s="10" t="str">
        <f aca="false">IF(D10="","",$B$4-SUM($D$8:D10))</f>
        <v/>
      </c>
    </row>
    <row r="11" customFormat="false" ht="15" hidden="false" customHeight="true" outlineLevel="0" collapsed="false">
      <c r="A11" s="33"/>
      <c r="B11" s="34"/>
      <c r="C11" s="34"/>
      <c r="D11" s="35"/>
      <c r="E11" s="10" t="str">
        <f aca="false">IF(D11="","",$B$4-SUM($D$8:D11))</f>
        <v/>
      </c>
    </row>
    <row r="12" customFormat="false" ht="15" hidden="false" customHeight="true" outlineLevel="0" collapsed="false">
      <c r="A12" s="33"/>
      <c r="B12" s="34"/>
      <c r="C12" s="34"/>
      <c r="D12" s="35"/>
      <c r="E12" s="10" t="str">
        <f aca="false">IF(D12="","",$B$4-SUM($D$8:D12))</f>
        <v/>
      </c>
    </row>
    <row r="13" customFormat="false" ht="15" hidden="false" customHeight="true" outlineLevel="0" collapsed="false">
      <c r="A13" s="33"/>
      <c r="B13" s="34"/>
      <c r="C13" s="34"/>
      <c r="D13" s="35"/>
      <c r="E13" s="10" t="str">
        <f aca="false">IF(D13="","",$B$4-SUM($D$8:D13))</f>
        <v/>
      </c>
    </row>
    <row r="14" customFormat="false" ht="15" hidden="false" customHeight="true" outlineLevel="0" collapsed="false">
      <c r="A14" s="33"/>
      <c r="B14" s="34"/>
      <c r="C14" s="34"/>
      <c r="D14" s="35"/>
      <c r="E14" s="10" t="str">
        <f aca="false">IF(D14="","",$B$4-SUM($D$8:D14))</f>
        <v/>
      </c>
    </row>
    <row r="15" customFormat="false" ht="15" hidden="false" customHeight="true" outlineLevel="0" collapsed="false">
      <c r="A15" s="33"/>
      <c r="B15" s="34"/>
      <c r="C15" s="34"/>
      <c r="D15" s="35"/>
      <c r="E15" s="10" t="str">
        <f aca="false">IF(D15="","",$B$4-SUM($D$8:D15))</f>
        <v/>
      </c>
    </row>
    <row r="16" customFormat="false" ht="15" hidden="false" customHeight="true" outlineLevel="0" collapsed="false">
      <c r="A16" s="33"/>
      <c r="B16" s="34"/>
      <c r="C16" s="34"/>
      <c r="D16" s="35"/>
      <c r="E16" s="10" t="str">
        <f aca="false">IF(D16="","",$B$4-SUM($D$8:D16))</f>
        <v/>
      </c>
    </row>
    <row r="17" customFormat="false" ht="15" hidden="false" customHeight="true" outlineLevel="0" collapsed="false">
      <c r="A17" s="33"/>
      <c r="B17" s="34"/>
      <c r="C17" s="34"/>
      <c r="D17" s="35"/>
      <c r="E17" s="10" t="str">
        <f aca="false">IF(D17="","",$B$4-SUM($D$8:D17))</f>
        <v/>
      </c>
    </row>
    <row r="18" customFormat="false" ht="15" hidden="false" customHeight="true" outlineLevel="0" collapsed="false">
      <c r="A18" s="33"/>
      <c r="B18" s="34"/>
      <c r="C18" s="34"/>
      <c r="D18" s="35"/>
      <c r="E18" s="10" t="str">
        <f aca="false">IF(D18="","",$B$4-SUM($D$8:D18))</f>
        <v/>
      </c>
    </row>
    <row r="19" customFormat="false" ht="15" hidden="false" customHeight="true" outlineLevel="0" collapsed="false">
      <c r="A19" s="33"/>
      <c r="B19" s="34"/>
      <c r="C19" s="34"/>
      <c r="D19" s="35"/>
      <c r="E19" s="10" t="str">
        <f aca="false">IF(D19="","",$B$4-SUM($D$8:D19))</f>
        <v/>
      </c>
    </row>
    <row r="20" customFormat="false" ht="15" hidden="false" customHeight="true" outlineLevel="0" collapsed="false">
      <c r="A20" s="33"/>
      <c r="B20" s="34"/>
      <c r="C20" s="34"/>
      <c r="D20" s="35"/>
      <c r="E20" s="10" t="str">
        <f aca="false">IF(D20="","",$B$4-SUM($D$8:D20))</f>
        <v/>
      </c>
    </row>
    <row r="21" customFormat="false" ht="15" hidden="false" customHeight="true" outlineLevel="0" collapsed="false">
      <c r="A21" s="33"/>
      <c r="B21" s="34"/>
      <c r="C21" s="34"/>
      <c r="D21" s="35"/>
      <c r="E21" s="10" t="str">
        <f aca="false">IF(D21="","",$B$4-SUM($D$8:D21))</f>
        <v/>
      </c>
    </row>
    <row r="22" customFormat="false" ht="15" hidden="false" customHeight="true" outlineLevel="0" collapsed="false">
      <c r="A22" s="33"/>
      <c r="B22" s="34"/>
      <c r="C22" s="34"/>
      <c r="D22" s="35"/>
      <c r="E22" s="10" t="str">
        <f aca="false">IF(D22="","",$B$4-SUM($D$8:D22))</f>
        <v/>
      </c>
    </row>
    <row r="23" customFormat="false" ht="15" hidden="false" customHeight="true" outlineLevel="0" collapsed="false">
      <c r="A23" s="33"/>
      <c r="B23" s="34"/>
      <c r="C23" s="34"/>
      <c r="D23" s="35"/>
      <c r="E23" s="10" t="str">
        <f aca="false">IF(D23="","",$B$4-SUM($D$8:D23))</f>
        <v/>
      </c>
    </row>
    <row r="24" customFormat="false" ht="15" hidden="false" customHeight="true" outlineLevel="0" collapsed="false">
      <c r="A24" s="33"/>
      <c r="B24" s="34"/>
      <c r="C24" s="34"/>
      <c r="D24" s="35"/>
      <c r="E24" s="10" t="str">
        <f aca="false">IF(D24="","",$B$4-SUM($D$8:D24))</f>
        <v/>
      </c>
    </row>
    <row r="25" customFormat="false" ht="15" hidden="false" customHeight="true" outlineLevel="0" collapsed="false">
      <c r="A25" s="33"/>
      <c r="B25" s="34"/>
      <c r="C25" s="34"/>
      <c r="D25" s="35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2026-07-17T10:50:23Z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