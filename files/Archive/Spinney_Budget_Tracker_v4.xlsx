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udget vs Actual" sheetId="2" state="visible" r:id="rId4"/>
    <sheet name="Invoicing Schedule" sheetId="3" state="visible" r:id="rId5"/>
    <sheet name="Cost Lines" sheetId="4" state="visible" r:id="rId6"/>
    <sheet name="Invoice Register" sheetId="5" state="visible" r:id="rId7"/>
    <sheet name="Skip Hire Log" sheetId="6" state="visible" r:id="rId8"/>
    <sheet name="Materials Receipts" sheetId="7" state="visible" r:id="rId9"/>
    <sheet name="Contingency Drawdow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<sst xmlns="http://schemas.openxmlformats.org/spreadsheetml/2006/main" count="576" uniqueCount="347">
  <si>
    <t xml:space="preserve">Spinney External Works — Budget Summary</t>
  </si>
  <si>
    <t xml:space="preserve">Last updated:</t>
  </si>
  <si>
    <t xml:space="preserve">All figures gross (as payable). Invoiced / Paid pull automatically from the Invoice Register; Contingency remaining pulls from the Drawdown sheet.</t>
  </si>
  <si>
    <t xml:space="preserve">Cost centre</t>
  </si>
  <si>
    <t xml:space="preserve">Supplier</t>
  </si>
  <si>
    <t xml:space="preserve">Committed £</t>
  </si>
  <si>
    <t xml:space="preserve">Invoiced £</t>
  </si>
  <si>
    <t xml:space="preserve">Paid £</t>
  </si>
  <si>
    <t xml:space="preserve">Remaining vs committed £</t>
  </si>
  <si>
    <t xml:space="preserve">Notes</t>
  </si>
  <si>
    <t xml:space="preserve">Decking materials</t>
  </si>
  <si>
    <t xml:space="preserve">V4 Wood Flooring Ltd</t>
  </si>
  <si>
    <t xml:space="preserve">Order amended to all Ashwood + flexible bullnose (1 Jul). PAID IN FULL 9 Jul, ref V4FQ-15584. 25% restocking on over-ordering — unlikely given curved design + offcuts project, but noted.</t>
  </si>
  <si>
    <t xml:space="preserve">Decking labour</t>
  </si>
  <si>
    <t xml:space="preserve">LG Building and Roofing Ltd</t>
  </si>
  <si>
    <t xml:space="preserve">Labour £17,600 (no VAT). Stage 1 (£4,400) invoiced/paid 20 Aug, full price. Cash instalment (£2,000, 4 Sep) — CORRECTED: cash payments DO get the 10% discount (same as chimney/coping), retiring £2,222.22 of quoted value. £6,400 cash paid to date, equivalent to £6,622.22 of quoted value — £10,977.78 quoted value remaining. Rubbish removal (£1,200) transferred 10 Aug to pooled skip fund — see that row, not double-counted here.</t>
  </si>
  <si>
    <t xml:space="preserve">Contingency</t>
  </si>
  <si>
    <t xml:space="preserve">—</t>
  </si>
  <si>
    <t xml:space="preserve">Covers: fence move/repair labour; soakaway fix before decking; drainage by garage; extra curved-decking labour; cement &amp; bricks; coping condensation-prep (£250, PAID 14 Aug via bank transfer, INV-0288). Luke's labour drawn from this pot attracts the 10% discount (extended 20 Jul) — note the condensation-prep item was paid by bank transfer, not cash, so discount doesn't apply there. See Contingency Drawdown sheet.</t>
  </si>
  <si>
    <t xml:space="preserve">Chimney repair</t>
  </si>
  <si>
    <t xml:space="preserve">Quoted 2 Jun: £3,200 labour (invoiced full price, INV-0286) + £1,500 scaffold share. Cowl upgrade (£62.90) and TP account materials reclassified out 17 Aug — see Contingency and Materials (pooled) rows. This is now a clean quote-vs-actual labour figure.</t>
  </si>
  <si>
    <t xml:space="preserve">Coping stones repair</t>
  </si>
  <si>
    <t xml:space="preserve">Quoted 3 Jun: £3,800 labour, confirmed 7 Aug as £3,610 blended (50% cash @10% disc. + 50% invoiced) + £1,700 scaffold share. Condensation-prep (£276.42) and TP account materials share (£277.29) reclassified out — see Contingency and Materials (pooled) rows. RISK: coping-stone damage on removal could substantially increase cost.</t>
  </si>
  <si>
    <t xml:space="preserve">Materials (pooled)</t>
  </si>
  <si>
    <t xml:space="preserve">Merchant trade accounts</t>
  </si>
  <si>
    <t xml:space="preserve">Pooled chimney (£480) + coping (£650) materials budget — decision 20 Jul. Purchased via merchant trade accounts (Dry Lining Supplies, Travis Perkins etc.), cleared on receipts. Detail on Materials Receipts sheet.</t>
  </si>
  <si>
    <t xml:space="preserve">Rubbish removal (pooled skips)</t>
  </si>
  <si>
    <t xml:space="preserve">Skip Hire Comparison Ltd / future providers</t>
  </si>
  <si>
    <t xml:space="preserve">Transferred 10 Aug from chimney/coping/decking rubbish-removal quotes (£80+£80+£1,200). Original skip (Skip Hire Comparison Ltd) cancelled 11 Aug, refunded — replaced same-day by Elmbridge Mini Skips (2 skips, £780 total, settled 12 Aug). Provisional — more skips expected, especially during decking. Detail on Skip Hire Log sheet.</t>
  </si>
  <si>
    <t xml:space="preserve">Core project (Luke's ~£56,800 outline)</t>
  </si>
  <si>
    <t xml:space="preserve">Chimney + coping incl. pooled materials</t>
  </si>
  <si>
    <t xml:space="preserve">PROJECT TOTAL</t>
  </si>
  <si>
    <t xml:space="preserve">Contingency remaining:</t>
  </si>
  <si>
    <t xml:space="preserve">Spinney External Works — Budget vs Actual</t>
  </si>
  <si>
    <t xml:space="preserve">Snapshot as of 17 Aug 2026 (Week 5) — refresh narrative each batched update session; table figures pull from Summary sheet.</t>
  </si>
  <si>
    <t xml:space="preserve">Snapshot</t>
  </si>
  <si>
    <t xml:space="preserve">Week 5 — overall, we are running close to plan. Chimney, coping, and decking materials all landed on or under quote; decking labour's first stage matches the quoted rate exactly. Materials pool is back under its cap after a refund. Contingency is barely touched. Nothing here suggests a budget problem.</t>
  </si>
  <si>
    <t xml:space="preserve">• Chimney</t>
  </si>
  <si>
    <t xml:space="preserve">£0 variance — labour invoiced at the full quoted £3,200, no discount applied (non-cash terms).</t>
  </si>
  <si>
    <t xml:space="preserve">• Coping</t>
  </si>
  <si>
    <t xml:space="preserve">£190 UNDER quote — half the labour was settled in cash at the agreed 10% discount (£1,710 vs £1,900), the other half invoiced at full price. This is the one place the discount policy shows up as a measurable saving.</t>
  </si>
  <si>
    <t xml:space="preserve">• Decking (labour + V4 materials)</t>
  </si>
  <si>
    <t xml:space="preserve">Materials fully paid to the V4 proforma exactly. Labour: Stage 1 (£4,400) invoiced full price, plus a £2,000 cash instalment (4 Sep, 10% discount applies) — £6,400 paid so far, £11,200 quoted value remaining across future stages.</t>
  </si>
  <si>
    <t xml:space="preserve">• Scaffold (pooled, chimney + coping combined)</t>
  </si>
  <si>
    <t xml:space="preserve">£0 variance — this was never split-quoted per workstream, just one £3,200 job (£2,000 paid on erection, £1,200 due on strike). Treating it as its own pooled line avoids implying a false per-workstream comparison.</t>
  </si>
  <si>
    <t xml:space="preserve">• Materials (pooled, chimney + coping)</t>
  </si>
  <si>
    <t xml:space="preserve">Back under the £1,130 cap — a £72.23 refund from Dry Lining Supplies (unused monocouche + other returned items) landed 19 Aug, more than offsetting the earlier £62.90 overage from pooling Luke's Travis Perkins account purchases.</t>
  </si>
  <si>
    <t xml:space="preserve">• Rubbish removal (pooled, all 3 workstreams)</t>
  </si>
  <si>
    <t xml:space="preserve">£780 spent of £1,360 so far — looks healthy, but this needs a caveat: decking's £1,200 share (88% of the pool) hasn't been tested yet, and the two skips used so far carried spoil from chimney, coping, AND the soakaway/decking-prep groundworks, not cleanly attributable to any one workstream.</t>
  </si>
  <si>
    <t xml:space="preserve">• Contingency</t>
  </si>
  <si>
    <t xml:space="preserve">£480.98 drawn of the £5,000 pot (condensation-prep £276.42 + chimney cowl upgrade £62.90 + V4 screw top-up £141.66) — £4,519.02 remaining. All three are genuine scope additions beyond the original quotes, which is exactly what this pot is for.</t>
  </si>
  <si>
    <t xml:space="preserve">Budget vs Actual — detail</t>
  </si>
  <si>
    <t xml:space="preserve">Quote / Budget £</t>
  </si>
  <si>
    <t xml:space="preserve">Actual £</t>
  </si>
  <si>
    <t xml:space="preserve">Variance £</t>
  </si>
  <si>
    <t xml:space="preserve">Note</t>
  </si>
  <si>
    <t xml:space="preserve">Chimney (labour)</t>
  </si>
  <si>
    <t xml:space="preserve">Invoiced full price (INV-0286) — non-cash, no discount</t>
  </si>
  <si>
    <t xml:space="preserve">Coping (labour)</t>
  </si>
  <si>
    <t xml:space="preserve">50% cash @10% disc. + 50% invoiced — favourable</t>
  </si>
  <si>
    <t xml:space="preserve">Decking (labour)</t>
  </si>
  <si>
    <t xml:space="preserve">Stage 1 (£4,400, invoiced, full price) + cash instalment (£2,000, 10% discount, retires £2,222.22 of quoted value) — £11,200 quoted value remaining, mix of future cash/invoice TBC.</t>
  </si>
  <si>
    <t xml:space="preserve">Decking materials (V4)</t>
  </si>
  <si>
    <t xml:space="preserve">Proforma matched exactly, paid in full 9 Jul</t>
  </si>
  <si>
    <t xml:space="preserve">Scaffold (pooled, chimney+coping)</t>
  </si>
  <si>
    <t xml:space="preserve">Never split-quoted — one combined job. £2,000 paid, £1,200 due on strike</t>
  </si>
  <si>
    <t xml:space="preserve">Materials (pooled, chimney+coping)</t>
  </si>
  <si>
    <t xml:space="preserve">Back under the £1,130 cap after a £72.23 refund from Dry Lining Supplies (unused monocouche + other returned items) landed 19 Aug — was £62.92 over before the refund.</t>
  </si>
  <si>
    <t xml:space="preserve">Rubbish removal (pooled, all 3 workstreams)</t>
  </si>
  <si>
    <t xml:space="preserve">Decking's £1,200 share largely untested — see snapshot caveat</t>
  </si>
  <si>
    <t xml:space="preserve">£480.98 drawn (condensation-prep £276.42 + chimney cowl £62.90 + V4 screw top-up £141.66) — £4,519.02 remaining. Variance here just means 'not yet drawn', not a saving.</t>
  </si>
  <si>
    <t xml:space="preserve">TOTAL (as spent/committed to date)</t>
  </si>
  <si>
    <t xml:space="preserve">Contingency now included at its £5,000 named budget value, matching Summary's convention.</t>
  </si>
  <si>
    <t xml:space="preserve">Reconciliation check</t>
  </si>
  <si>
    <t xml:space="preserve">Summary's PROJECT TOTAL uses each cost centre's committed/ceiling figure — for Chimney, Coping, and Decking that's the real actual; for Materials, Rubbish, and Contingency (all pooled/reserve buckets) it's the provisional cap, not what's been spent so far. Recomputed on that same basis below to confirm nothing here is missing or double-counted against Summary.</t>
  </si>
  <si>
    <t xml:space="preserve">  Chimney (actual)</t>
  </si>
  <si>
    <t xml:space="preserve">  Coping (actual)</t>
  </si>
  <si>
    <t xml:space="preserve">  Decking labour (actual)</t>
  </si>
  <si>
    <t xml:space="preserve">  Decking materials (actual)</t>
  </si>
  <si>
    <t xml:space="preserve">  Materials pooled (at £1,130 cap, per Summary)</t>
  </si>
  <si>
    <t xml:space="preserve">  Rubbish removal pooled (at £1,360 cap, per Summary)</t>
  </si>
  <si>
    <t xml:space="preserve">  Contingency (at £5,000 cap, per Summary)</t>
  </si>
  <si>
    <t xml:space="preserve">Recomputed total (Summary basis)</t>
  </si>
  <si>
    <t xml:space="preserve">Summary PROJECT TOTAL (committed)</t>
  </si>
  <si>
    <t xml:space="preserve">Difference — should be £0.00</t>
  </si>
  <si>
    <t xml:space="preserve">Invoicing Schedule — expected invoice events</t>
  </si>
  <si>
    <t xml:space="preserve">Terms: 10% labour discount on all Luke phases except decking labour and scaffolding. Chimney &amp; coping settle as SINGLE CASH PAYMENTS on phase completion (agreed Lara/Ryan 20 Jul; TBC with Luke 21 Jul). Log every payment on the Invoice Register — this sheet is expectations, the Register is the record.</t>
  </si>
  <si>
    <t xml:space="preserve">#</t>
  </si>
  <si>
    <t xml:space="preserve">Trigger event</t>
  </si>
  <si>
    <t xml:space="preserve">Payee</t>
  </si>
  <si>
    <t xml:space="preserve">Basis</t>
  </si>
  <si>
    <t xml:space="preserve">Est. £</t>
  </si>
  <si>
    <t xml:space="preserve">Status</t>
  </si>
  <si>
    <t xml:space="preserve">Order placed — PAID IN FULL 9 Jul</t>
  </si>
  <si>
    <t xml:space="preserve">Invoice V4FQ-15584</t>
  </si>
  <si>
    <t xml:space="preserve">Paid</t>
  </si>
  <si>
    <t xml:space="preserve">Chimney + Coping (scaffold)</t>
  </si>
  <si>
    <t xml:space="preserve">Erection complete (17–18 Jul) — PAID</t>
  </si>
  <si>
    <t xml:space="preserve">Scaffolder (via Trevor)</t>
  </si>
  <si>
    <t xml:space="preserve">£2,000 cash (of £3,200 combined)</t>
  </si>
  <si>
    <t xml:space="preserve">Logged in Register: £937.50 chimney + £1,062.50 coping</t>
  </si>
  <si>
    <t xml:space="preserve">Strike, after Gate 1 sign-off</t>
  </si>
  <si>
    <t xml:space="preserve">£1,200 cash balance on strike</t>
  </si>
  <si>
    <t xml:space="preserve">Agreed</t>
  </si>
  <si>
    <t xml:space="preserve">Log in Register: £562.50 chimney + £637.50 coping</t>
  </si>
  <si>
    <t xml:space="preserve">INVOICED &amp; PAID 24 Jul (non-cash)</t>
  </si>
  <si>
    <t xml:space="preserve">£3,200 labour less £111.70 prepaid = £3,088.30. Full price — no discount.</t>
  </si>
  <si>
    <t xml:space="preserve">£3,200 labour invoiced &amp; paid 24 Jul (£3,088.30 after £111.70 prepayment deduction). Rubbish removal (£80) transferred 10 Aug to pooled skip fund — no longer owed to Luke.</t>
  </si>
  <si>
    <t xml:space="preserve">50% CASH — PAID 7 Aug</t>
  </si>
  <si>
    <t xml:space="preserve">50% of base labour (£1,710.00), 10% cash discount. Based on original £3,800 quote only.</t>
  </si>
  <si>
    <t xml:space="preserve">Excludes condensation-prep addition — price not yet finalised (see separate row).</t>
  </si>
  <si>
    <t xml:space="preserve">50% INVOICED — due next week</t>
  </si>
  <si>
    <t xml:space="preserve">50% of base labour (£1,900.00) full price. Rubbish removal transferred to pooled skip fund 10 Aug.</t>
  </si>
  <si>
    <t xml:space="preserve">Paid 14 Aug</t>
  </si>
  <si>
    <t xml:space="preserve">INVOICED 13 Aug as part of Luke's INV-0288 (£2,150 total, due 14 Aug) — that invoice also includes the £250 condensation-prep item, now tracked separately under Contingency. No longer includes rubbish removal — see Rubbish removal (pooled skips) row.</t>
  </si>
  <si>
    <t xml:space="preserve">Additional scope — condensation-escape prep (price TBC)</t>
  </si>
  <si>
    <t xml:space="preserve">Combined labour + materials, Luke's estimate — price NOT yet finalised</t>
  </si>
  <si>
    <t xml:space="preserve">Price TBC — not finalised (7 Aug)</t>
  </si>
  <si>
    <t xml:space="preserve">Terms confirmed 7 Aug: 100% cash (labour + materials) once priced. Separate from the base coping 50/50 split.</t>
  </si>
  <si>
    <t xml:space="preserve">Stage 1 (25%, INV-0289) PAID 20 Aug — 4 stages confirmed, flat 25% each</t>
  </si>
  <si>
    <t xml:space="preserve">£17,600 labour total across stages, at quoted rates. CORRECTED 4 Sep: cash payments DO get the 10% discount (same as chimney/coping) — only invoiced stages are full price. Rubbish removal transferred to pooled skip fund.</t>
  </si>
  <si>
    <t xml:space="preserve">Stage 1 paid, 25% down</t>
  </si>
  <si>
    <t xml:space="preserve">Stage 1 (£4,400) invoiced/paid 20 Aug, full price. Cash top-up (£2,000, 4 Sep) retires £2,222.22 of quoted value at the 10% discount. Remaining quoted value: £10,977.78. Exact milestone triggers for future stages still TBC.</t>
  </si>
  <si>
    <t xml:space="preserve">Periodic — on receipts</t>
  </si>
  <si>
    <t xml:space="preserve">Merchant trade accounts (Dry Lining Supplies, TP etc.)</t>
  </si>
  <si>
    <t xml:space="preserve">Pooled £1,130 budget (chimney £480 + coping £650)</t>
  </si>
  <si>
    <t xml:space="preserve">Agreed in principle</t>
  </si>
  <si>
    <t xml:space="preserve">Log each receipt in Register + Materials Receipts sheet</t>
  </si>
  <si>
    <t xml:space="preserve">Rainy-day tasks 100% on completion; named extras as incurred</t>
  </si>
  <si>
    <t xml:space="preserve">LG Building / merchants</t>
  </si>
  <si>
    <t xml:space="preserve">£5,000 pot — fence labour, soakaway fix, garage drainage, curved-deck extras, cement &amp; bricks. Labour at 10% discount</t>
  </si>
  <si>
    <t xml:space="preserve">Approved 20 Jul — first draw 14 Aug</t>
  </si>
  <si>
    <t xml:space="preserve">Curved-decking extra labour discount TBC. First draw: coping condensation-prep (£250, named purpose #6), paid 14 Aug via bank transfer, INV-0288. £4,750 of the £5,000 pot remaining. Each drawdown also on Contingency Drawdown sheet.</t>
  </si>
  <si>
    <t xml:space="preserve">Additional material — stainless steel cowl</t>
  </si>
  <si>
    <t xml:space="preserve">StoveWorldUK (paid direct, project account)</t>
  </si>
  <si>
    <t xml:space="preserve">Order #147399, 10 Aug 2026</t>
  </si>
  <si>
    <t xml:space="preserve">5" stainless steel chimney pot hanger cowl — replaces original spec (decision logged 7 Aug), prevents rusting. Arrives Fri 14 Aug — likely last item before scaffold strike.</t>
  </si>
  <si>
    <t xml:space="preserve">Periodic — as skips are needed</t>
  </si>
  <si>
    <t xml:space="preserve">Provisional £1,360 (transferred from chimney/coping/decking rubbish quotes)</t>
  </si>
  <si>
    <t xml:space="preserve">Approved 10 Aug</t>
  </si>
  <si>
    <t xml:space="preserve">First skip £344.16 paid 10 Aug, delivery 11 Aug. More skips expected during decking — budget is provisional, watch like the materials pool. Log each skip in Register + Skip Hire Log sheet.</t>
  </si>
  <si>
    <t xml:space="preserve">SCHEDULE TOTAL (all rows):</t>
  </si>
  <si>
    <t xml:space="preserve">Summary tab committed total:</t>
  </si>
  <si>
    <t xml:space="preserve">Difference (must be £0.00):</t>
  </si>
  <si>
    <t xml:space="preserve">Cost Lines — every line item from LG estimates and the V4 invoice</t>
  </si>
  <si>
    <t xml:space="preserve">Source documents: LG chimney estimate 2 Jun 2026 · LG coping estimate 3 Jun 2026 · LG decking estimate 3 Jun 2026 · V4 invoice V4FQ-15584, 9 Jul 2026.</t>
  </si>
  <si>
    <t xml:space="preserve">Line item</t>
  </si>
  <si>
    <t xml:space="preserve">Qty</t>
  </si>
  <si>
    <t xml:space="preserve">Unit £</t>
  </si>
  <si>
    <t xml:space="preserve">Line total £</t>
  </si>
  <si>
    <t xml:space="preserve">VAT</t>
  </si>
  <si>
    <t xml:space="preserve">Payment route</t>
  </si>
  <si>
    <t xml:space="preserve">LG Building</t>
  </si>
  <si>
    <t xml:space="preserve">Labour — remove render, k-rend sealer, base + top coat, render crown, storm-dry cream</t>
  </si>
  <si>
    <t xml:space="preserve">No VAT</t>
  </si>
  <si>
    <t xml:space="preserve">LG invoice</t>
  </si>
  <si>
    <t xml:space="preserve">INVOICED 24 Jul (INV-0286), full price £3,200 less £111.70 prepaid = £3,088.30. Non-cash, so 10% discount does not apply. Rubbish removal £80 outstanding.</t>
  </si>
  <si>
    <t xml:space="preserve">Scaffolder (direct)</t>
  </si>
  <si>
    <t xml:space="preserve">Tubular scaffolding — all four sides of chimney and crown</t>
  </si>
  <si>
    <t xml:space="preserve">Inc VAT</t>
  </si>
  <si>
    <t xml:space="preserve">Paid directly</t>
  </si>
  <si>
    <t xml:space="preserve">Combined £3,200, cash terms (20 Jul): £2,000 paid following erection; £1,200 balance on strike.</t>
  </si>
  <si>
    <t xml:space="preserve">Materials (chimney estimate — pooled 20 Jul)</t>
  </si>
  <si>
    <t xml:space="preserve">Trade accounts — cleared on receipts</t>
  </si>
  <si>
    <t xml:space="preserve">Rubbish removal</t>
  </si>
  <si>
    <t xml:space="preserve">TRANSFERRED 10 Aug to pooled Rubbish removal (skips) fund — family now supplies skips directly rather than Luke arranging disposal. No longer owed to Luke.</t>
  </si>
  <si>
    <t xml:space="preserve">Labour — remove/reset copings, slate cap, render, lead flashings to parapet rear</t>
  </si>
  <si>
    <t xml:space="preserve">CONFIRMED 7 Aug, based on original £3,800 quote: 50% cash (£1710.00 @ 10% discount) due same day, 50% invoiced (£1900.00 full price) due next week, timed after back gutters are complete — see Invoicing Schedule. RISK: coping-stone damage on removal could substantially increase cost. Condensation-prep addition (£250) reclassified to Contingency 13 Aug — no longer part of this total.</t>
  </si>
  <si>
    <t xml:space="preserve">Tubular scaffolding with winch system</t>
  </si>
  <si>
    <t xml:space="preserve">Materials (coping estimate — pooled 20 Jul)</t>
  </si>
  <si>
    <t xml:space="preserve">TRANSFERRED 10 Aug to pooled Rubbish removal (skips) fund. Removed from next week's invoice (now £1,900, not £1,980).</t>
  </si>
  <si>
    <t xml:space="preserve">Labour — remove old decking &amp; frame, construct composite frame, install deck to spec</t>
  </si>
  <si>
    <t xml:space="preserve">RISK: pending structure/ground assessment. CORRECTED 4 Sep: cash payments DO get the 10% discount (same as chimney/coping) — only invoiced stages are full price. Progress: Stage 1 (£4,400) invoiced 20 Aug + £2,000 cash instalment 4 Sep (retires £2,222.22 of quoted value) — £6,400 cash paid to date, equivalent to £6,622.22 of quoted value — £10,977.78 quoted value remaining.</t>
  </si>
  <si>
    <t xml:space="preserve">Rubbish removal (8-yard skips ×2, possibly 3)</t>
  </si>
  <si>
    <t xml:space="preserve">TRANSFERRED 10 Aug to pooled Rubbish removal (skips) fund.</t>
  </si>
  <si>
    <t xml:space="preserve">V4 Wood Flooring</t>
  </si>
  <si>
    <t xml:space="preserve">Millboard Ashwood 176mm Moulded Lastane (144.90 m²)</t>
  </si>
  <si>
    <t xml:space="preserve">In net</t>
  </si>
  <si>
    <t xml:space="preserve">V4 invoice — PAID</t>
  </si>
  <si>
    <t xml:space="preserve">Millboard Ashwood Moulded Lastane — MFN360H</t>
  </si>
  <si>
    <t xml:space="preserve">Millboard Ashwood Moulded Lastane — MEBB360H (flexible bullnose)</t>
  </si>
  <si>
    <t xml:space="preserve">For curved upper level</t>
  </si>
  <si>
    <t xml:space="preserve">Millboard Step Edge — Ashwood Moulded Lastane</t>
  </si>
  <si>
    <t xml:space="preserve">Stainless steel screws 45mm — boxes</t>
  </si>
  <si>
    <t xml:space="preserve">Durafix Trimhead 35mm SS screws — box of 100 (FT35P100)</t>
  </si>
  <si>
    <t xml:space="preserve">Plas-Pro bearer/joist black 3.0m 50×125mm composite (P1205B300)</t>
  </si>
  <si>
    <t xml:space="preserve">Subframe — the bulk of the tonnage</t>
  </si>
  <si>
    <t xml:space="preserve">Subframe hexhead screws — box of 50 (FH90P050)</t>
  </si>
  <si>
    <t xml:space="preserve">Original 16 boxes delivered in full, confirmed 12 Aug. TOP-UP REQUESTED 20 Aug: Luke has asked for 15 more boxes (same item, FH90P050) — substructure screw consumption running ahead of the original estimate. Not yet ordered/invoiced. Estimated cost £141.66 inc VAT (15 x £7.87 + 20% VAT, matching original per-unit price) — treat as V4 Phase 3 once ordered. Not yet added to committed total.</t>
  </si>
  <si>
    <t xml:space="preserve">Millboard touch-up paint — Ashwood (AP500H)</t>
  </si>
  <si>
    <t xml:space="preserve">Millboard multi-spacer — pack of 10 (FP36P010)</t>
  </si>
  <si>
    <t xml:space="preserve">VAT on order</t>
  </si>
  <si>
    <t xml:space="preserve">Net £26,857.49 + VAT = £32,228.99</t>
  </si>
  <si>
    <t xml:space="preserve">TBC</t>
  </si>
  <si>
    <t xml:space="preserve">Contingency pot — fence labour, garage drainage, curved-deck labour, cement &amp; bricks, coping condensation-prep (£250, reclassified 13 Aug). Soakaway fix cancelled 1 Sep, nothing drawn. Pipe investigation resolved 4 Sep — no leak, no repair needed, no draw required.</t>
  </si>
  <si>
    <t xml:space="preserve">As incurred</t>
  </si>
  <si>
    <t xml:space="preserve">Track on Contingency Drawdown sheet. Labour invoices from this pot at 10% discount (extended 20 Jul); materials (cement/bricks) full price. Curved-decking extra labour: discount status TBC with Luke. Coping condensation-prep (£250) added as named purpose #6, 13 Aug — payment method (cash vs invoice) pending confirmation.</t>
  </si>
  <si>
    <t xml:space="preserve">Named purpose #6 — Coping condensation-escape prep: re-bed 3 bricks; reinforce parapet corners with fibreglass mesh; fit 4 weep holes to front face above internal damp-course membrane (slate DPC capped in plastic DPM). Reclassified from Coping 13 Aug — same item, moved to keep coping's committed total accurate rather than inflate it.</t>
  </si>
  <si>
    <t xml:space="preserve">Contingency drawdown</t>
  </si>
  <si>
    <t xml:space="preserve">PRICED 13 Aug via Luke's invoice INV-0288: £250. Terms originally agreed as 100% cash; confirmed 14 Aug instead paid via bank transfer, bundled with the coping £1,900 balance. PAID 14 Aug.</t>
  </si>
  <si>
    <t xml:space="preserve">StoveWorldUK</t>
  </si>
  <si>
    <t xml:space="preserve">Named purpose #7 — Chimney cowl upgrade: 5" Stainless Steel Chimney Pot Hanger Cowl (order #147399), replaces original spec</t>
  </si>
  <si>
    <t xml:space="preserve">Paid direct by Ryan (project account)</t>
  </si>
  <si>
    <t xml:space="preserve">Decision logged 7 Aug (stainless steel, prevent rusting). Cost finalised 10 Aug, received 12 Aug, fitted 17 Aug. RECLASSIFIED 17 Aug from Chimney to Contingency — genuine scope addition beyond the original quote, same treatment as coping condensation-prep (#6). Paid direct by Ryan.</t>
  </si>
  <si>
    <t xml:space="preserve">LG Building and Roofing Ltd (Travis Perkins account)</t>
  </si>
  <si>
    <t xml:space="preserve">Luke's Travis Perkins account materials, 3 invoices 17 Jul-5 Aug (render/masonry consumables + lead flashing) — pooled with chimney+coping materials, same simplified treatment as Dry Lining Supplies.</t>
  </si>
  <si>
    <t xml:space="preserve">Reimbursement to Luke</t>
  </si>
  <si>
    <t xml:space="preserve">SIMPLIFIED 18 Aug: previously split chimney/coping 50/50 — now pooled as one line, consistent with how Dry Lining Supplies purchases were always treated (not split by workstream). DPC roll (£26.42) stays separately in Contingency (purpose #6, condensation-prep) as it's additional scope, not pool materials.</t>
  </si>
  <si>
    <t xml:space="preserve">(merged into row above, 18 Aug)</t>
  </si>
  <si>
    <t xml:space="preserve">RECLASSIFIED 17 Aug: lead flashing reattributed from chimney to coping (original quote explicitly scopes 'lead flashings to parapet rear' under coping's labour). Both items within originally-quoted scope, so routed through Materials pool per agreed rule rather than Coping's own Cost Lines.</t>
  </si>
  <si>
    <t xml:space="preserve">Named purpose #8 — V4 screw top-up: 15 more boxes of Timberfix structural subframe screws (FH90P050), quote V4FQ-17702</t>
  </si>
  <si>
    <t xml:space="preserve">Bank transfer</t>
  </si>
  <si>
    <t xml:space="preserve">Requested by Luke 20 Aug, ordered 24 Aug, PAID. Substructure screw consumption ran ahead of the original 16-box estimate. Same item/supplier as the original V4 order, but treated as an additional-scope purchase per Ryan's direction — routed through Contingency rather than inflating the Decking materials (V4) line, which stays matched to its original proforma.</t>
  </si>
  <si>
    <t xml:space="preserve">Provisional pooled budget — transferred from chimney (£80) + coping (£80) + decking (£1,200) rubbish-removal quotes, 10 Aug. Family now supplies skips directly.</t>
  </si>
  <si>
    <t xml:space="preserve">First skip ordered 10 Aug (£344.16, 8yd, delivery 11 Aug). More skips expected during decking — budget is provisional, to be watched like the materials pool. Detail on Skip Hire Log sheet.</t>
  </si>
  <si>
    <t xml:space="preserve">TOTAL (all lines)</t>
  </si>
  <si>
    <t xml:space="preserve">Invoice &amp; Payment Register — add a row per invoice received</t>
  </si>
  <si>
    <t xml:space="preserve">Yellow cells are inputs. Cost centre must match the Summary sheet names exactly (dropdown-free by design — copy from row 5). Paid date empty = outstanding.</t>
  </si>
  <si>
    <t xml:space="preserve">Invoice date</t>
  </si>
  <si>
    <t xml:space="preserve">Reference</t>
  </si>
  <si>
    <t xml:space="preserve">Description</t>
  </si>
  <si>
    <t xml:space="preserve">Amount £ (gross)</t>
  </si>
  <si>
    <t xml:space="preserve">Paid date</t>
  </si>
  <si>
    <t xml:space="preserve">Method</t>
  </si>
  <si>
    <t xml:space="preserve">V4FQ-15584</t>
  </si>
  <si>
    <t xml:space="preserve">Millboard Ashwood decking + Plas-Pro subframe, fixings (144.9 m²)</t>
  </si>
  <si>
    <t xml:space="preserve">Amex</t>
  </si>
  <si>
    <t xml:space="preserve">Paid in full at order</t>
  </si>
  <si>
    <t xml:space="preserve">Dry Lining Supplies Ltd</t>
  </si>
  <si>
    <t xml:space="preserve">RECB000NNIVB49XWEXOG</t>
  </si>
  <si>
    <t xml:space="preserve">Render materials (shared chimney+coping): mesh, Weberend Aid ×6, beads, SBR, rubble sacks</t>
  </si>
  <si>
    <t xml:space="preserve">Pay By Link</t>
  </si>
  <si>
    <t xml:space="preserve">Project-materials share of £423.69 receipt</t>
  </si>
  <si>
    <t xml:space="preserve">Folding work platform 600mm — Luke's equipment, non-project</t>
  </si>
  <si>
    <t xml:space="preserve">PREPAYMENT vs chimney phase-start invoice: pay £1,528.29 of the £1,640 when it lands</t>
  </si>
  <si>
    <t xml:space="preserve">Cash</t>
  </si>
  <si>
    <t xml:space="preserve">Scaffold erection payment — chimney share (pro-rata of £2,000 cash)</t>
  </si>
  <si>
    <t xml:space="preserve">£2,000 paid following erection 17–18 Jul; amend date cell if payment day differed</t>
  </si>
  <si>
    <t xml:space="preserve">INV-0286</t>
  </si>
  <si>
    <t xml:space="preserve">Chimney labour, invoiced (£3,200 less £111.70 work-platform prepayment). Rubbish removal £80 NOT included — outstanding.</t>
  </si>
  <si>
    <t xml:space="preserve">Invoiced (non-cash) — full price, no 10% discount. £80 rubbish removal still outstanding.</t>
  </si>
  <si>
    <t xml:space="preserve">Dry Lining Supplies</t>
  </si>
  <si>
    <t xml:space="preserve">914751798</t>
  </si>
  <si>
    <t xml:space="preserve">Weber Pral M Silver Pearl x10, Plastic 15mm Stop Bead 3m x3 (shared render finish)</t>
  </si>
  <si>
    <t xml:space="preserve">Second pooled-materials trip</t>
  </si>
  <si>
    <t xml:space="preserve">RECB000NNIVB6DIPDFCW</t>
  </si>
  <si>
    <t xml:space="preserve">Weberend Ocr x3, Weber Pral M Silver Pearl x4, Stop Bead x6, Drip Bead x2, Sikabond SBR x1 (coping render)</t>
  </si>
  <si>
    <t xml:space="preserve">Coping stones render materials. Receipt received 4 Aug (till David, 07:31).</t>
  </si>
  <si>
    <t xml:space="preserve">Coping 50% cash labour payment (base labour only, 10% discount). Condensation-prep addition NOT included — price not yet finalised.</t>
  </si>
  <si>
    <t xml:space="preserve">Confirmed 7 Aug: 50% cash / 50% invoice split on original £3,800 quote. Remainder £1,980.00 (incl. rubbish) to be invoiced next week. £250 addition separate, price TBC.</t>
  </si>
  <si>
    <t xml:space="preserve">Order #147399</t>
  </si>
  <si>
    <t xml:space="preserve">5" Stainless Steel Chimney Pot Hanger Cowl — replaces original spec</t>
  </si>
  <si>
    <t xml:space="preserve">Card (Ryan, project account)</t>
  </si>
  <si>
    <t xml:space="preserve">Named purpose #7 (chimney cowl upgrade). RECLASSIFIED 17 Aug from Chimney repair — genuine scope addition beyond original quote.</t>
  </si>
  <si>
    <t xml:space="preserve">Skip Hire Comparison Ltd</t>
  </si>
  <si>
    <t xml:space="preserve">D81F29CE-0002</t>
  </si>
  <si>
    <t xml:space="preserve">8 cubic yard skip, delivery 11 Aug</t>
  </si>
  <si>
    <t xml:space="preserve">First skip. Replaces chimney/coping/decking rubbish-removal quotes — transferred to this pooled fund 10 Aug. CANCELLED 11 Aug — original supplier delayed delivery; refunded in full (receipt 3362-9782), see row below.</t>
  </si>
  <si>
    <t xml:space="preserve">Refund 3362-9782 (orig. inv. D81F29CE-0002)</t>
  </si>
  <si>
    <t xml:space="preserve">Refund — original skip cancelled after supplier delivery delay</t>
  </si>
  <si>
    <t xml:space="preserve">Refund confirmed received 13 Aug 2026 — cleared in 2 working days, faster than the 5-10 day estimate.</t>
  </si>
  <si>
    <t xml:space="preserve">Elmbridge Mini Skips</t>
  </si>
  <si>
    <t xml:space="preserve">INV-11373 / ref 25996</t>
  </si>
  <si>
    <t xml:space="preserve">8 cubic yard skip — delivery, replaces cancelled Skip Hire Comparison booking</t>
  </si>
  <si>
    <t xml:space="preserve">Settled 12 Aug 2026. Skip delivered filled 11 Aug; collected and swapped for empty 12 Aug.</t>
  </si>
  <si>
    <t xml:space="preserve">INV-11375 / ref 26030</t>
  </si>
  <si>
    <t xml:space="preserve">8 cubic yard skip — exchange (collects filled skip, delivers empty)</t>
  </si>
  <si>
    <t xml:space="preserve">Settled 12 Aug 2026.</t>
  </si>
  <si>
    <t xml:space="preserve">INV-0288</t>
  </si>
  <si>
    <t xml:space="preserve">50% invoiced balance — coping base labour</t>
  </si>
  <si>
    <t xml:space="preserve">Paid as part of INV-0288 (£2,150 total, also includes the £250 condensation-prep item — see Contingency row below).</t>
  </si>
  <si>
    <t xml:space="preserve">Named purpose #6 — coping condensation-escape prep (re-bed 3 bricks, fibreglass mesh, 4 weep holes)</t>
  </si>
  <si>
    <t xml:space="preserve">Reclassified from Coping 13 Aug. Terms were originally agreed as 100% cash — confirmed 14 Aug this is instead paid via bank transfer as part of INV-0288, bundled with the £1,900 coping balance.</t>
  </si>
  <si>
    <t xml:space="preserve">SoftWash UK</t>
  </si>
  <si>
    <t xml:space="preserve">Order F4UJ62VLQ</t>
  </si>
  <si>
    <t xml:space="preserve">Render Cleaner Gel X Pro, 5 Litres</t>
  </si>
  <si>
    <t xml:space="preserve">Card (Mastercard ...4597)</t>
  </si>
  <si>
    <t xml:space="preserve">Paid at checkout, order confirmed 16 Aug. Also logged on Materials Receipts sheet — pool detail.</t>
  </si>
  <si>
    <t xml:space="preserve">TP invoices 1047678330 / 1047972816 / 1048887075</t>
  </si>
  <si>
    <t xml:space="preserve">Render/masonry consumables + lead flashing — pooled, not split by workstream</t>
  </si>
  <si>
    <t xml:space="preserve">PAID 18 Aug, confirmed as part of the full £547.88 TP account settlement (all 4 invoices). £0.02 rounding absorbed here so the three allocations reconcile exactly to the confirmed total.</t>
  </si>
  <si>
    <t xml:space="preserve">Refund against 4 Aug order</t>
  </si>
  <si>
    <t xml:space="preserve">Refund — 5 bags unused monocouche + other returned items, against original £148.53 order</t>
  </si>
  <si>
    <t xml:space="preserve">Refund confirmed received 19 Aug — £72.23, slightly more than the £63.10 estimate (5 bags x £12.62), likely covered a few additional returned items beyond the monocouche. Actual figure used, not the estimate.</t>
  </si>
  <si>
    <t xml:space="preserve">TP invoice 1048887075</t>
  </si>
  <si>
    <t xml:space="preserve">Damplas DPC roll — coping condensation-prep material (named purpose #6)</t>
  </si>
  <si>
    <t xml:space="preserve">PAID 18 Aug, part of the full £547.88 TP account settlement. Adds to the existing purpose #6 draw (£250 labour) — total now £276.42.</t>
  </si>
  <si>
    <t xml:space="preserve">TP invoice 1049120278</t>
  </si>
  <si>
    <t xml:space="preserve">Cleaning/finishing consumables — pooled, not split by workstream</t>
  </si>
  <si>
    <t xml:space="preserve">PAID 18 Aug, part of the full £547.88 TP account settlement.</t>
  </si>
  <si>
    <t xml:space="preserve">INV-0289</t>
  </si>
  <si>
    <t xml:space="preserve">Decking labour — stage 1 (25% of £17,600 quoted labour)</t>
  </si>
  <si>
    <t xml:space="preserve">First stage payment — resolves the earlier open question about 4-5 stage triggers: appears to be a flat 25% per stage. 3 stages remaining (£13,200).</t>
  </si>
  <si>
    <t xml:space="preserve">Scaffold erection payment — coping share (pro-rata of £2,000 cash). CAUGHT 18 Aug: paid at the time, only now logged in the Register.</t>
  </si>
  <si>
    <t xml:space="preserve">Matches chimney's already-logged share (row 8) — total £2,000 split £1,500/£1,700 chimney/coping ratio.</t>
  </si>
  <si>
    <t xml:space="preserve">Scaffold final balance — chimney share (pro-rata of £1,200)</t>
  </si>
  <si>
    <t xml:space="preserve">Scaffold strike complete 18 Aug, final balance paid. Full £3,200 now settled: £1,500 chimney + £1,700 coping.</t>
  </si>
  <si>
    <t xml:space="preserve">Scaffold final balance — coping share (pro-rata of £1,200)</t>
  </si>
  <si>
    <t xml:space="preserve">Scaffold strike complete 18 Aug, final balance paid.</t>
  </si>
  <si>
    <t xml:space="preserve">V4FQ-17702</t>
  </si>
  <si>
    <t xml:space="preserve">V4 screw top-up — 15 boxes structural subframe screws (named purpose #8)</t>
  </si>
  <si>
    <t xml:space="preserve">Requested by Luke 20 Aug, ordered and paid 24 Aug.</t>
  </si>
  <si>
    <t xml:space="preserve">Decking labour — cash instalment (10% discount applies)</t>
  </si>
  <si>
    <t xml:space="preserve">Retires £2,222.22 of quoted value at the 10% cash discount (£2,000 paid = 90%). Not a full 25% stage — partial/interim payment. Total paid to date: £6,400 (Stage 1 £4,400 invoiced + this £2,000 cash). Quoted value remaining: £10,977.78.</t>
  </si>
  <si>
    <t xml:space="preserve">Skip Hire Log — pooled rubbish-removal drawdown</t>
  </si>
  <si>
    <t xml:space="preserve">Provisional pooled budget £1,360 (transferred 10 Aug from chimney £80 + coping £80 + decking £1,200 rubbish-removal quotes). Family now supplies skips directly rather than Luke arranging disposal. Log every skip here AND on the Invoice Register (cost centre: Rubbish removal (pooled skips)) — this sheet is skip detail, the Register is the money record. Unlike the materials pool, more skips are expected — budget may need topping up.</t>
  </si>
  <si>
    <t xml:space="preserve">Opening pool:</t>
  </si>
  <si>
    <t xml:space="preserve">Remaining:</t>
  </si>
  <si>
    <t xml:space="preserve">Date</t>
  </si>
  <si>
    <t xml:space="preserve">Provider</t>
  </si>
  <si>
    <t xml:space="preserve">Skip details</t>
  </si>
  <si>
    <t xml:space="preserve">Phase / use</t>
  </si>
  <si>
    <t xml:space="preserve">Amount £</t>
  </si>
  <si>
    <t xml:space="preserve">Running remaining £</t>
  </si>
  <si>
    <t xml:space="preserve">8 cubic yard, general waste, delivery 11 Aug (ref D81F29CE-0002) — CANCELLED 11 Aug (supplier delayed), refunded in full (receipt 3362-9782)</t>
  </si>
  <si>
    <t xml:space="preserve">Above-ground works (chimney/coping)</t>
  </si>
  <si>
    <t xml:space="preserve">Refund — cancelled booking, receipt 3362-9782, 5-10 working days to clear</t>
  </si>
  <si>
    <t xml:space="preserve">Refund (cancelled skip)</t>
  </si>
  <si>
    <t xml:space="preserve">8 cubic yard, delivery — filled, awaiting exchange (INV-11373, ref 25996)</t>
  </si>
  <si>
    <t xml:space="preserve">8 cubic yard, exchange — collects filled skip, delivers empty (INV-11375, ref 26030)</t>
  </si>
  <si>
    <t xml:space="preserve">Materials Receipts — pooled budget drawdown</t>
  </si>
  <si>
    <t xml:space="preserve">Pooled budget £1,130 (chimney £480 + coping £650, pooled 20 Jul). Log every merchant receipt here AND on the Invoice Register (cost centre: Materials (pooled)) — this sheet is the pool detail, the Register is the money record. NOTE: pool is over cap after adding Luke's Travis Perkins account materials (now paid in full, 18 Aug) — flagged deliberately, not hidden; cap left at £1,130 rather than raised. PENDING 18 Aug: 5 bags of unused monocouche (Weber Pral M) returned to Dry Lining Supplies — refund expected within a couple of working days. Calculated from receipts: Weber Pral M Silver Pearl consistently £12.62/bag inc VAT (£126.20/10 on 22 Jul, £50.48/4 on 4 Aug) × 5 bags = £63.10 expected refund. Not yet logged as received — add Paid date once the credit note actually lands.</t>
  </si>
  <si>
    <t xml:space="preserve">Merchant</t>
  </si>
  <si>
    <t xml:space="preserve">Items (summary)</t>
  </si>
  <si>
    <t xml:space="preserve">Render mesh, Weberend Aid ×6, angle/stop beads, rubble sacks, Bond It SBR 5l (project share; £111.71 platform excluded — Luke's equipment)</t>
  </si>
  <si>
    <t xml:space="preserve">Render (chimney + coping, shared)</t>
  </si>
  <si>
    <t xml:space="preserve">Weber Pral M Silver Pearl x10 (£126.20), Plastic 15mm Stop Bead 3m x3 (£9.60), inc VAT</t>
  </si>
  <si>
    <t xml:space="preserve">Render finish (chimney + coping, shared)</t>
  </si>
  <si>
    <t xml:space="preserve">Weberend Ocr x3 (£29.13), Weber Pral M Silver Pearl x4 (£50.48), Stop Bead x6 (£19.20), Drip Bead x2 (£7.42), Sikabond SBR (£17.54), inc VAT</t>
  </si>
  <si>
    <t xml:space="preserve">Render (coping stones)</t>
  </si>
  <si>
    <t xml:space="preserve">Render Cleaner Gel X Pro, 5 Litres (order F4UJ62VLQ)</t>
  </si>
  <si>
    <t xml:space="preserve">Render cleanup (chimney + coping, shared)</t>
  </si>
  <si>
    <t xml:space="preserve">Render/masonry consumables + lead flashing, 3 invoices 17 Jul-5 Aug (1047678330 / 1047972816 / 1048887075) — pooled, not split by workstream</t>
  </si>
  <si>
    <t xml:space="preserve">Render (chimney + coping, pooled)</t>
  </si>
  <si>
    <t xml:space="preserve">LG Building and Roofing Ltd (Travis Perkins account, INV 1049120278)</t>
  </si>
  <si>
    <t xml:space="preserve">Cleaning/finishing consumables (trigger spray, decorating cloth) — pooled, not split by workstream</t>
  </si>
  <si>
    <t xml:space="preserve">Contingency Drawdown — £5,000 pot (agreed Lara/Luke, 1 Jul 2026)</t>
  </si>
  <si>
    <t xml:space="preserve">Named purposes: fence move/repair labour · ~~soakaway fix before decking~~ CANCELLED 1 Sep, cost-benefit not worth it, nothing drawn · drainage by the garage · additional curved-decking labour · cement &amp; bricks · coping condensation-prep (£276.42, purpose #6) · chimney cowl upgrade (£62.90, purpose #7) · V4 screw top-up (£141.66, purpose #8). Luke's labour from this pot invoiced at 10% discount (extended 20 Jul) — condensation-prep, the cowl, and the screw top-up were all bank transfer/direct paid, not cash, so no discount applied to any of them. Curved-decking extra labour discount status TBC. Pipe investigation (task 2.2) RESOLVED 4 Sep: no leaking pipe found — damp ground was condensation trapped under old decking, not a plumbing fault. No repair needed, purpose #9 not required. Excavation continues for decking widening (straight-line, distinct from curved-decking-labour purpose above), tracked under decking substructure, not contingency.</t>
  </si>
  <si>
    <t xml:space="preserve">Opening pot:</t>
  </si>
  <si>
    <t xml:space="preserve">Purpose</t>
  </si>
  <si>
    <t xml:space="preserve">Supplier / detail</t>
  </si>
  <si>
    <t xml:space="preserve">Coping condensation-escape prep (named purpose #6)</t>
  </si>
  <si>
    <t xml:space="preserve">LG Building and Roofing Ltd (INV-0288)</t>
  </si>
  <si>
    <t xml:space="preserve">Coping condensation-prep material (Damplas DPC roll, named purpose #6)</t>
  </si>
  <si>
    <t xml:space="preserve">Chimney cowl upgrade — stainless steel (named purpose #7)</t>
  </si>
  <si>
    <t xml:space="preserve">StoveWorldUK (order #147399)</t>
  </si>
  <si>
    <t xml:space="preserve">V4 Wood Flooring Ltd (V4FQ-17702)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</si>
</sst>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#,##0.00"/>
    <numFmt numFmtId="167" formatCode="\£#,##0.00"/>
    <numFmt numFmtId="168" formatCode="\£#,##0.00;&quot;-£&quot;#,##0.00"/>
    <numFmt numFmtId="169" formatCode="\£#,##0.00;[RED]&quot;-£&quot;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66E"/>
      <name val="Georgia"/>
      <family val="0"/>
      <charset val="1"/>
    </font>
    <font>
      <b val="true"/>
      <sz val="11"/>
      <color rgb="FF1F2937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color rgb="FF0F766E"/>
      <name val="Calibri"/>
      <family val="0"/>
      <charset val="1"/>
    </font>
    <font>
      <b val="true"/>
      <sz val="12"/>
      <color rgb="FF0F766E"/>
      <name val="Calibri"/>
      <family val="0"/>
      <charset val="1"/>
    </font>
    <font>
      <b val="true"/>
      <sz val="13"/>
      <color rgb="FF0F766E"/>
      <name val="Georg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59669"/>
      <name val="Calibri"/>
      <family val="0"/>
      <charset val="1"/>
    </font>
    <font>
      <b val="true"/>
      <sz val="13"/>
      <color rgb="FF0F766E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9C4"/>
        <bgColor rgb="FFFEF3C7"/>
      </patternFill>
    </fill>
    <fill>
      <patternFill patternType="solid">
        <fgColor rgb="FF0F766E"/>
        <bgColor rgb="FF0D9488"/>
      </patternFill>
    </fill>
    <fill>
      <patternFill patternType="solid">
        <fgColor rgb="FFF0FDFA"/>
        <bgColor rgb="FFF3F4F6"/>
      </patternFill>
    </fill>
    <fill>
      <patternFill patternType="solid">
        <fgColor rgb="FFFEE2E2"/>
        <bgColor rgb="FFE5E7EB"/>
      </patternFill>
    </fill>
    <fill>
      <patternFill patternType="solid">
        <fgColor rgb="FFF3F4F6"/>
        <bgColor rgb="FFF0FDFA"/>
      </patternFill>
    </fill>
    <fill>
      <patternFill patternType="solid">
        <fgColor rgb="FFCCFBF1"/>
        <bgColor rgb="FFD1FAE5"/>
      </patternFill>
    </fill>
    <fill>
      <patternFill patternType="solid">
        <fgColor rgb="FFD1FAE5"/>
        <bgColor rgb="FFCCFBF1"/>
      </patternFill>
    </fill>
    <fill>
      <patternFill patternType="solid">
        <fgColor rgb="FFE5E7EB"/>
        <bgColor rgb="FFF3F4F6"/>
      </patternFill>
    </fill>
    <fill>
      <patternFill patternType="solid">
        <fgColor rgb="FFFEF3C7"/>
        <bgColor rgb="FFFFF9C4"/>
      </patternFill>
    </fill>
    <fill>
      <patternFill patternType="solid">
        <fgColor rgb="FF0D9488"/>
        <bgColor rgb="FF05966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5E7EB"/>
      <rgbColor rgb="FF808080"/>
      <rgbColor rgb="FF9999FF"/>
      <rgbColor rgb="FF993366"/>
      <rgbColor rgb="FFFFF9C4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F0FDFA"/>
      <rgbColor rgb="FFD1FAE5"/>
      <rgbColor rgb="FFFEF3C7"/>
      <rgbColor rgb="FFF3F4F6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059669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5" min="3" style="1" width="14"/>
    <col collapsed="false" customWidth="true" hidden="false" outlineLevel="0" max="6" min="6" style="1" width="20"/>
    <col collapsed="false" customWidth="true" hidden="false" outlineLevel="0" max="7" min="7" style="1" width="5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v>46246</v>
      </c>
      <c r="C2" s="5" t="s">
        <v>2</v>
      </c>
    </row>
    <row r="4" customFormat="false" ht="15" hidden="false" customHeight="true" outlineLevel="0" collapsed="fals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customFormat="false" ht="34.5" hidden="false" customHeight="true" outlineLevel="0" collapsed="false">
      <c r="A5" s="7" t="s">
        <v>10</v>
      </c>
      <c r="B5" s="8" t="s">
        <v>11</v>
      </c>
      <c r="C5" s="9" t="n">
        <v>32228.99</v>
      </c>
      <c r="D5" s="10" t="n">
        <f aca="false">SUMIF('Invoice Register'!$B:$B,$A5,'Invoice Register'!$F:$F)</f>
        <v>32228.99</v>
      </c>
      <c r="E5" s="10" t="n">
        <f aca="false">SUMIFS('Invoice Register'!$F:$F,'Invoice Register'!$B:$B,$A5,'Invoice Register'!$G:$G,"&lt;&gt;")</f>
        <v>32228.99</v>
      </c>
      <c r="F5" s="10" t="n">
        <f aca="false">C5-D5</f>
        <v>0</v>
      </c>
      <c r="G5" s="11" t="s">
        <v>12</v>
      </c>
    </row>
    <row r="6" customFormat="false" ht="27.75" hidden="false" customHeight="true" outlineLevel="0" collapsed="false">
      <c r="A6" s="7" t="s">
        <v>13</v>
      </c>
      <c r="B6" s="8" t="s">
        <v>14</v>
      </c>
      <c r="C6" s="9" t="n">
        <v>17600</v>
      </c>
      <c r="D6" s="10" t="n">
        <f aca="false">SUMIF('Invoice Register'!$B:$B,$A6,'Invoice Register'!$F:$F)</f>
        <v>6400</v>
      </c>
      <c r="E6" s="10" t="n">
        <f aca="false">SUMIFS('Invoice Register'!$F:$F,'Invoice Register'!$B:$B,$A6,'Invoice Register'!$G:$G,"&lt;&gt;")</f>
        <v>6400</v>
      </c>
      <c r="F6" s="10" t="n">
        <f aca="false">C6-D6</f>
        <v>11200</v>
      </c>
      <c r="G6" s="11" t="s">
        <v>15</v>
      </c>
    </row>
    <row r="7" customFormat="false" ht="34.5" hidden="false" customHeight="true" outlineLevel="0" collapsed="false">
      <c r="A7" s="7" t="s">
        <v>16</v>
      </c>
      <c r="B7" s="8" t="s">
        <v>17</v>
      </c>
      <c r="C7" s="9" t="n">
        <v>5000</v>
      </c>
      <c r="D7" s="10" t="n">
        <f aca="false">SUMIF('Invoice Register'!$B:$B,$A7,'Invoice Register'!$F:$F)</f>
        <v>480.98</v>
      </c>
      <c r="E7" s="10" t="n">
        <f aca="false">SUMIFS('Invoice Register'!$F:$F,'Invoice Register'!$B:$B,$A7,'Invoice Register'!$G:$G,"&lt;&gt;")</f>
        <v>480.98</v>
      </c>
      <c r="F7" s="10" t="n">
        <f aca="false">C7-D7</f>
        <v>4519.02</v>
      </c>
      <c r="G7" s="11" t="s">
        <v>18</v>
      </c>
    </row>
    <row r="8" customFormat="false" ht="27.75" hidden="false" customHeight="true" outlineLevel="0" collapsed="false">
      <c r="A8" s="7" t="s">
        <v>19</v>
      </c>
      <c r="B8" s="8" t="s">
        <v>14</v>
      </c>
      <c r="C8" s="9" t="n">
        <v>4700</v>
      </c>
      <c r="D8" s="10" t="n">
        <f aca="false">SUMIF('Invoice Register'!$B:$B,$A8,'Invoice Register'!$F:$F)</f>
        <v>4700.01</v>
      </c>
      <c r="E8" s="10" t="n">
        <f aca="false">SUMIFS('Invoice Register'!$F:$F,'Invoice Register'!$B:$B,$A8,'Invoice Register'!$G:$G,"&lt;&gt;")</f>
        <v>4700.01</v>
      </c>
      <c r="F8" s="10" t="n">
        <f aca="false">C8-D8</f>
        <v>-0.0100000000002183</v>
      </c>
      <c r="G8" s="11" t="s">
        <v>20</v>
      </c>
    </row>
    <row r="9" customFormat="false" ht="27.75" hidden="false" customHeight="true" outlineLevel="0" collapsed="false">
      <c r="A9" s="7" t="s">
        <v>21</v>
      </c>
      <c r="B9" s="8" t="s">
        <v>14</v>
      </c>
      <c r="C9" s="9" t="n">
        <v>5310</v>
      </c>
      <c r="D9" s="10" t="n">
        <f aca="false">SUMIF('Invoice Register'!$B:$B,$A9,'Invoice Register'!$F:$F)</f>
        <v>5310</v>
      </c>
      <c r="E9" s="10" t="n">
        <f aca="false">SUMIFS('Invoice Register'!$F:$F,'Invoice Register'!$B:$B,$A9,'Invoice Register'!$G:$G,"&lt;&gt;")</f>
        <v>5310</v>
      </c>
      <c r="F9" s="10" t="n">
        <f aca="false">C9-D9</f>
        <v>0</v>
      </c>
      <c r="G9" s="12" t="s">
        <v>22</v>
      </c>
    </row>
    <row r="10" customFormat="false" ht="15" hidden="false" customHeight="true" outlineLevel="0" collapsed="false">
      <c r="A10" s="7" t="s">
        <v>23</v>
      </c>
      <c r="B10" s="8" t="s">
        <v>24</v>
      </c>
      <c r="C10" s="9" t="n">
        <v>1130</v>
      </c>
      <c r="D10" s="10" t="n">
        <f aca="false">SUMIF('Invoice Register'!$B:$B,$A10,'Invoice Register'!$F:$F)</f>
        <v>1120.69</v>
      </c>
      <c r="E10" s="10" t="n">
        <f aca="false">SUMIFS('Invoice Register'!$F:$F,'Invoice Register'!$B:$B,$A10,'Invoice Register'!$G:$G,"&lt;&gt;")</f>
        <v>1120.69</v>
      </c>
      <c r="F10" s="10" t="n">
        <f aca="false">C10-D10</f>
        <v>9.30999999999995</v>
      </c>
      <c r="G10" s="11" t="s">
        <v>25</v>
      </c>
    </row>
    <row r="11" customFormat="false" ht="15" hidden="false" customHeight="true" outlineLevel="0" collapsed="false">
      <c r="A11" s="13" t="s">
        <v>26</v>
      </c>
      <c r="B11" s="14" t="s">
        <v>27</v>
      </c>
      <c r="C11" s="15" t="n">
        <v>1360</v>
      </c>
      <c r="D11" s="16" t="n">
        <f aca="false">SUMIF('Invoice Register'!$B:$B,$A11,'Invoice Register'!$F:$F)</f>
        <v>780</v>
      </c>
      <c r="E11" s="16" t="n">
        <f aca="false">SUMIFS('Invoice Register'!$F:$F,'Invoice Register'!$B:$B,$A11,'Invoice Register'!$G:$G,"&lt;&gt;")</f>
        <v>780</v>
      </c>
      <c r="F11" s="16" t="n">
        <f aca="false">C11-D11</f>
        <v>580</v>
      </c>
      <c r="G11" s="17" t="s">
        <v>28</v>
      </c>
    </row>
    <row r="12" customFormat="false" ht="15" hidden="false" customHeight="true" outlineLevel="0" collapsed="false">
      <c r="A12" s="18" t="s">
        <v>29</v>
      </c>
      <c r="B12" s="19"/>
      <c r="C12" s="15" t="n">
        <f aca="false">C5+C6+C7</f>
        <v>54828.99</v>
      </c>
      <c r="D12" s="15" t="n">
        <f aca="false">D5+D6+D7</f>
        <v>39109.97</v>
      </c>
      <c r="E12" s="15" t="n">
        <f aca="false">E5+E6+E7</f>
        <v>39109.97</v>
      </c>
      <c r="F12" s="15" t="n">
        <f aca="false">F5+F6+F7</f>
        <v>15719.02</v>
      </c>
      <c r="G12" s="19"/>
    </row>
    <row r="13" customFormat="false" ht="15" hidden="false" customHeight="true" outlineLevel="0" collapsed="false">
      <c r="A13" s="20" t="s">
        <v>30</v>
      </c>
      <c r="B13" s="21"/>
      <c r="C13" s="22" t="n">
        <f aca="false">C8+C9+C10</f>
        <v>11140</v>
      </c>
      <c r="D13" s="22" t="n">
        <f aca="false">D8+D9+D10</f>
        <v>11130.7</v>
      </c>
      <c r="E13" s="22" t="n">
        <f aca="false">E8+E9+E10</f>
        <v>11130.7</v>
      </c>
      <c r="F13" s="22" t="n">
        <f aca="false">F8+F9+F10</f>
        <v>9.29999999999973</v>
      </c>
      <c r="G13" s="21"/>
    </row>
    <row r="14" customFormat="false" ht="15" hidden="false" customHeight="true" outlineLevel="0" collapsed="false">
      <c r="A14" s="23" t="s">
        <v>31</v>
      </c>
      <c r="B14" s="24"/>
      <c r="C14" s="25" t="n">
        <f aca="false">C11+C12+C13</f>
        <v>67328.99</v>
      </c>
      <c r="D14" s="25" t="n">
        <f aca="false">D11+D12+D13</f>
        <v>51020.67</v>
      </c>
      <c r="E14" s="25" t="n">
        <f aca="false">E11+E12+E13</f>
        <v>51020.67</v>
      </c>
      <c r="F14" s="25" t="n">
        <f aca="false">F11+F12+F13</f>
        <v>16308.32</v>
      </c>
      <c r="G14" s="24"/>
    </row>
    <row r="15" customFormat="false" ht="15" hidden="false" customHeight="true" outlineLevel="0" collapsed="false">
      <c r="A15" s="3" t="s">
        <v>32</v>
      </c>
      <c r="B15" s="26" t="n">
        <f aca="false">'Contingency Drawdown'!$D$4</f>
        <v>4519.02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4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2" t="s">
        <v>33</v>
      </c>
    </row>
    <row r="2" customFormat="false" ht="15" hidden="false" customHeight="true" outlineLevel="0" collapsed="false">
      <c r="A2" s="5" t="s">
        <v>34</v>
      </c>
    </row>
    <row r="4" customFormat="false" ht="15.75" hidden="false" customHeight="true" outlineLevel="0" collapsed="false">
      <c r="A4" s="27" t="s">
        <v>35</v>
      </c>
    </row>
    <row r="5" customFormat="false" ht="39.75" hidden="false" customHeight="true" outlineLevel="0" collapsed="false">
      <c r="A5" s="28" t="s">
        <v>36</v>
      </c>
      <c r="B5" s="28"/>
      <c r="C5" s="28"/>
      <c r="D5" s="28"/>
      <c r="E5" s="28"/>
    </row>
    <row r="7" customFormat="false" ht="43.5" hidden="false" customHeight="true" outlineLevel="0" collapsed="false">
      <c r="A7" s="29" t="s">
        <v>37</v>
      </c>
      <c r="B7" s="28" t="s">
        <v>38</v>
      </c>
      <c r="C7" s="28"/>
      <c r="D7" s="28"/>
      <c r="E7" s="28"/>
    </row>
    <row r="8" customFormat="false" ht="43.5" hidden="false" customHeight="true" outlineLevel="0" collapsed="false">
      <c r="A8" s="29" t="s">
        <v>39</v>
      </c>
      <c r="B8" s="28" t="s">
        <v>40</v>
      </c>
      <c r="C8" s="28"/>
      <c r="D8" s="28"/>
      <c r="E8" s="28"/>
    </row>
    <row r="9" customFormat="false" ht="43.5" hidden="false" customHeight="true" outlineLevel="0" collapsed="false">
      <c r="A9" s="29" t="s">
        <v>41</v>
      </c>
      <c r="B9" s="28" t="s">
        <v>42</v>
      </c>
      <c r="C9" s="28"/>
      <c r="D9" s="28"/>
      <c r="E9" s="28"/>
    </row>
    <row r="10" customFormat="false" ht="43.5" hidden="false" customHeight="true" outlineLevel="0" collapsed="false">
      <c r="A10" s="29" t="s">
        <v>43</v>
      </c>
      <c r="B10" s="28" t="s">
        <v>44</v>
      </c>
      <c r="C10" s="28"/>
      <c r="D10" s="28"/>
      <c r="E10" s="28"/>
    </row>
    <row r="11" customFormat="false" ht="43.5" hidden="false" customHeight="true" outlineLevel="0" collapsed="false">
      <c r="A11" s="29" t="s">
        <v>45</v>
      </c>
      <c r="B11" s="28" t="s">
        <v>46</v>
      </c>
      <c r="C11" s="28"/>
      <c r="D11" s="28"/>
      <c r="E11" s="28"/>
    </row>
    <row r="12" customFormat="false" ht="43.5" hidden="false" customHeight="true" outlineLevel="0" collapsed="false">
      <c r="A12" s="29" t="s">
        <v>47</v>
      </c>
      <c r="B12" s="28" t="s">
        <v>48</v>
      </c>
      <c r="C12" s="28"/>
      <c r="D12" s="28"/>
      <c r="E12" s="28"/>
    </row>
    <row r="13" customFormat="false" ht="43.5" hidden="false" customHeight="true" outlineLevel="0" collapsed="false">
      <c r="A13" s="29" t="s">
        <v>49</v>
      </c>
      <c r="B13" s="28" t="s">
        <v>50</v>
      </c>
      <c r="C13" s="28"/>
      <c r="D13" s="28"/>
      <c r="E13" s="28"/>
    </row>
    <row r="15" customFormat="false" ht="15.75" hidden="false" customHeight="true" outlineLevel="0" collapsed="false">
      <c r="A15" s="27" t="s">
        <v>51</v>
      </c>
    </row>
    <row r="16" customFormat="false" ht="15" hidden="false" customHeight="true" outlineLevel="0" collapsed="false">
      <c r="A16" s="30" t="s">
        <v>3</v>
      </c>
      <c r="B16" s="31" t="s">
        <v>52</v>
      </c>
      <c r="C16" s="31" t="s">
        <v>53</v>
      </c>
      <c r="D16" s="31" t="s">
        <v>54</v>
      </c>
      <c r="E16" s="30" t="s">
        <v>55</v>
      </c>
    </row>
    <row r="17" customFormat="false" ht="31.5" hidden="false" customHeight="true" outlineLevel="0" collapsed="false">
      <c r="A17" s="8" t="s">
        <v>56</v>
      </c>
      <c r="B17" s="32" t="n">
        <v>3200</v>
      </c>
      <c r="C17" s="32" t="n">
        <v>3200</v>
      </c>
      <c r="D17" s="33" t="n">
        <v>0</v>
      </c>
      <c r="E17" s="8" t="s">
        <v>57</v>
      </c>
    </row>
    <row r="18" customFormat="false" ht="31.5" hidden="false" customHeight="true" outlineLevel="0" collapsed="false">
      <c r="A18" s="34" t="s">
        <v>58</v>
      </c>
      <c r="B18" s="35" t="n">
        <v>3800</v>
      </c>
      <c r="C18" s="35" t="n">
        <v>3610</v>
      </c>
      <c r="D18" s="36" t="n">
        <v>-190</v>
      </c>
      <c r="E18" s="34" t="s">
        <v>59</v>
      </c>
    </row>
    <row r="19" customFormat="false" ht="31.5" hidden="false" customHeight="true" outlineLevel="0" collapsed="false">
      <c r="A19" s="8" t="s">
        <v>60</v>
      </c>
      <c r="B19" s="32" t="n">
        <v>17600</v>
      </c>
      <c r="C19" s="32" t="n">
        <v>6400</v>
      </c>
      <c r="D19" s="37" t="n">
        <v>-11200</v>
      </c>
      <c r="E19" s="8" t="s">
        <v>61</v>
      </c>
    </row>
    <row r="20" customFormat="false" ht="31.5" hidden="false" customHeight="true" outlineLevel="0" collapsed="false">
      <c r="A20" s="8" t="s">
        <v>62</v>
      </c>
      <c r="B20" s="32" t="n">
        <v>32228.99</v>
      </c>
      <c r="C20" s="32" t="n">
        <v>32228.99</v>
      </c>
      <c r="D20" s="33" t="n">
        <v>0</v>
      </c>
      <c r="E20" s="8" t="s">
        <v>63</v>
      </c>
    </row>
    <row r="21" customFormat="false" ht="31.5" hidden="false" customHeight="true" outlineLevel="0" collapsed="false">
      <c r="A21" s="8" t="s">
        <v>64</v>
      </c>
      <c r="B21" s="32" t="n">
        <v>3200</v>
      </c>
      <c r="C21" s="32" t="n">
        <v>3200</v>
      </c>
      <c r="D21" s="33" t="n">
        <v>0</v>
      </c>
      <c r="E21" s="8" t="s">
        <v>65</v>
      </c>
    </row>
    <row r="22" customFormat="false" ht="31.5" hidden="false" customHeight="true" outlineLevel="0" collapsed="false">
      <c r="A22" s="34" t="s">
        <v>66</v>
      </c>
      <c r="B22" s="35" t="n">
        <v>1130</v>
      </c>
      <c r="C22" s="35" t="n">
        <v>1120.69</v>
      </c>
      <c r="D22" s="36" t="n">
        <v>-9.31</v>
      </c>
      <c r="E22" s="34" t="s">
        <v>67</v>
      </c>
    </row>
    <row r="23" customFormat="false" ht="31.5" hidden="false" customHeight="true" outlineLevel="0" collapsed="false">
      <c r="A23" s="14" t="s">
        <v>68</v>
      </c>
      <c r="B23" s="38" t="n">
        <v>1360</v>
      </c>
      <c r="C23" s="38" t="n">
        <v>780</v>
      </c>
      <c r="D23" s="39" t="n">
        <v>-580</v>
      </c>
      <c r="E23" s="14" t="s">
        <v>69</v>
      </c>
    </row>
    <row r="24" customFormat="false" ht="31.5" hidden="false" customHeight="true" outlineLevel="0" collapsed="false">
      <c r="A24" s="8" t="s">
        <v>16</v>
      </c>
      <c r="B24" s="32" t="n">
        <v>5000</v>
      </c>
      <c r="C24" s="32" t="n">
        <v>480.98</v>
      </c>
      <c r="D24" s="37" t="n">
        <v>-4519.02</v>
      </c>
      <c r="E24" s="8" t="s">
        <v>70</v>
      </c>
    </row>
    <row r="25" customFormat="false" ht="31.5" hidden="false" customHeight="true" outlineLevel="0" collapsed="false">
      <c r="A25" s="40" t="s">
        <v>71</v>
      </c>
      <c r="B25" s="41" t="n">
        <v>67518.99</v>
      </c>
      <c r="C25" s="41" t="n">
        <v>51020.66</v>
      </c>
      <c r="D25" s="42" t="n">
        <v>-16498.33</v>
      </c>
      <c r="E25" s="43" t="s">
        <v>72</v>
      </c>
    </row>
    <row r="26" customFormat="false" ht="54.75" hidden="false" customHeight="true" outlineLevel="0" collapsed="false">
      <c r="A26" s="44"/>
      <c r="B26" s="44"/>
      <c r="C26" s="44"/>
      <c r="D26" s="44"/>
      <c r="E26" s="44"/>
    </row>
    <row r="27" customFormat="false" ht="15.75" hidden="false" customHeight="true" outlineLevel="0" collapsed="false">
      <c r="A27" s="45" t="s">
        <v>73</v>
      </c>
    </row>
    <row r="28" customFormat="false" ht="43.5" hidden="false" customHeight="true" outlineLevel="0" collapsed="false">
      <c r="A28" s="28" t="s">
        <v>74</v>
      </c>
      <c r="B28" s="28"/>
      <c r="C28" s="28"/>
      <c r="D28" s="28"/>
      <c r="E28" s="28"/>
    </row>
    <row r="30" customFormat="false" ht="15" hidden="false" customHeight="true" outlineLevel="0" collapsed="false">
      <c r="A30" s="46" t="s">
        <v>75</v>
      </c>
      <c r="C30" s="47" t="n">
        <v>4700</v>
      </c>
    </row>
    <row r="31" customFormat="false" ht="15" hidden="false" customHeight="true" outlineLevel="0" collapsed="false">
      <c r="A31" s="46" t="s">
        <v>76</v>
      </c>
      <c r="C31" s="47" t="n">
        <v>5310</v>
      </c>
    </row>
    <row r="32" customFormat="false" ht="15" hidden="false" customHeight="true" outlineLevel="0" collapsed="false">
      <c r="A32" s="46" t="s">
        <v>77</v>
      </c>
      <c r="C32" s="47" t="n">
        <v>17600</v>
      </c>
    </row>
    <row r="33" customFormat="false" ht="15" hidden="false" customHeight="true" outlineLevel="0" collapsed="false">
      <c r="A33" s="46" t="s">
        <v>78</v>
      </c>
      <c r="C33" s="47" t="n">
        <v>32228.99</v>
      </c>
    </row>
    <row r="34" customFormat="false" ht="27.75" hidden="false" customHeight="true" outlineLevel="0" collapsed="false">
      <c r="A34" s="46" t="s">
        <v>79</v>
      </c>
      <c r="C34" s="47" t="n">
        <v>1130</v>
      </c>
    </row>
    <row r="35" customFormat="false" ht="27.75" hidden="false" customHeight="true" outlineLevel="0" collapsed="false">
      <c r="A35" s="46" t="s">
        <v>80</v>
      </c>
      <c r="C35" s="47" t="n">
        <v>1360</v>
      </c>
    </row>
    <row r="36" customFormat="false" ht="27.75" hidden="false" customHeight="true" outlineLevel="0" collapsed="false">
      <c r="A36" s="46" t="s">
        <v>81</v>
      </c>
      <c r="C36" s="47" t="n">
        <v>5000</v>
      </c>
    </row>
    <row r="37" customFormat="false" ht="15" hidden="false" customHeight="true" outlineLevel="0" collapsed="false">
      <c r="A37" s="48" t="s">
        <v>82</v>
      </c>
      <c r="B37" s="49"/>
      <c r="C37" s="50" t="n">
        <v>67328.99</v>
      </c>
      <c r="D37" s="49"/>
      <c r="E37" s="49"/>
    </row>
    <row r="38" customFormat="false" ht="27.75" hidden="false" customHeight="true" outlineLevel="0" collapsed="false">
      <c r="A38" s="48" t="s">
        <v>83</v>
      </c>
      <c r="B38" s="49"/>
      <c r="C38" s="50" t="n">
        <f aca="false">Summary!C14</f>
        <v>67328.99</v>
      </c>
      <c r="D38" s="49"/>
      <c r="E38" s="49"/>
    </row>
    <row r="39" customFormat="false" ht="15" hidden="false" customHeight="true" outlineLevel="0" collapsed="false">
      <c r="A39" s="48" t="s">
        <v>84</v>
      </c>
      <c r="B39" s="49"/>
      <c r="C39" s="51" t="n">
        <f aca="false">67328.99-C38</f>
        <v>0</v>
      </c>
      <c r="D39" s="49"/>
      <c r="E39" s="49"/>
    </row>
  </sheetData>
  <mergeCells count="10">
    <mergeCell ref="A5:E5"/>
    <mergeCell ref="B7:E7"/>
    <mergeCell ref="B8:E8"/>
    <mergeCell ref="B9:E9"/>
    <mergeCell ref="B10:E10"/>
    <mergeCell ref="B11:E11"/>
    <mergeCell ref="B12:E12"/>
    <mergeCell ref="B13:E13"/>
    <mergeCell ref="A26:E26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34"/>
    <col collapsed="false" customWidth="true" hidden="false" outlineLevel="0" max="5" min="4" style="1" width="30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44"/>
  </cols>
  <sheetData>
    <row r="1" customFormat="false" ht="19.5" hidden="false" customHeight="true" outlineLevel="0" collapsed="false">
      <c r="A1" s="2" t="s">
        <v>85</v>
      </c>
    </row>
    <row r="2" customFormat="false" ht="15" hidden="false" customHeight="true" outlineLevel="0" collapsed="false">
      <c r="A2" s="5" t="s">
        <v>86</v>
      </c>
    </row>
    <row r="4" customFormat="false" ht="15" hidden="false" customHeight="true" outlineLevel="0" collapsed="false">
      <c r="A4" s="6" t="s">
        <v>87</v>
      </c>
      <c r="B4" s="6" t="s">
        <v>3</v>
      </c>
      <c r="C4" s="6" t="s">
        <v>88</v>
      </c>
      <c r="D4" s="6" t="s">
        <v>89</v>
      </c>
      <c r="E4" s="6" t="s">
        <v>90</v>
      </c>
      <c r="F4" s="6" t="s">
        <v>91</v>
      </c>
      <c r="G4" s="6" t="s">
        <v>92</v>
      </c>
      <c r="H4" s="6" t="s">
        <v>9</v>
      </c>
    </row>
    <row r="5" customFormat="false" ht="15" hidden="false" customHeight="true" outlineLevel="0" collapsed="false">
      <c r="A5" s="52" t="n">
        <v>1</v>
      </c>
      <c r="B5" s="8" t="s">
        <v>10</v>
      </c>
      <c r="C5" s="8" t="s">
        <v>93</v>
      </c>
      <c r="D5" s="8" t="s">
        <v>11</v>
      </c>
      <c r="E5" s="8" t="s">
        <v>94</v>
      </c>
      <c r="F5" s="53" t="n">
        <v>32228.99</v>
      </c>
      <c r="G5" s="54" t="s">
        <v>95</v>
      </c>
      <c r="H5" s="8"/>
    </row>
    <row r="6" customFormat="false" ht="15" hidden="false" customHeight="true" outlineLevel="0" collapsed="false">
      <c r="A6" s="52" t="n">
        <v>2</v>
      </c>
      <c r="B6" s="8" t="s">
        <v>96</v>
      </c>
      <c r="C6" s="8" t="s">
        <v>97</v>
      </c>
      <c r="D6" s="8" t="s">
        <v>98</v>
      </c>
      <c r="E6" s="8" t="s">
        <v>99</v>
      </c>
      <c r="F6" s="53" t="n">
        <v>2000</v>
      </c>
      <c r="G6" s="54" t="s">
        <v>95</v>
      </c>
      <c r="H6" s="8" t="s">
        <v>100</v>
      </c>
    </row>
    <row r="7" customFormat="false" ht="15" hidden="false" customHeight="true" outlineLevel="0" collapsed="false">
      <c r="A7" s="52" t="n">
        <v>3</v>
      </c>
      <c r="B7" s="8" t="s">
        <v>96</v>
      </c>
      <c r="C7" s="8" t="s">
        <v>101</v>
      </c>
      <c r="D7" s="8" t="s">
        <v>98</v>
      </c>
      <c r="E7" s="8" t="s">
        <v>102</v>
      </c>
      <c r="F7" s="53" t="n">
        <v>1200</v>
      </c>
      <c r="G7" s="55" t="s">
        <v>103</v>
      </c>
      <c r="H7" s="8" t="s">
        <v>104</v>
      </c>
    </row>
    <row r="8" customFormat="false" ht="15" hidden="false" customHeight="true" outlineLevel="0" collapsed="false">
      <c r="A8" s="52" t="n">
        <v>4</v>
      </c>
      <c r="B8" s="8" t="s">
        <v>19</v>
      </c>
      <c r="C8" s="8" t="s">
        <v>105</v>
      </c>
      <c r="D8" s="8" t="s">
        <v>14</v>
      </c>
      <c r="E8" s="8" t="s">
        <v>106</v>
      </c>
      <c r="F8" s="53" t="n">
        <v>3200</v>
      </c>
      <c r="G8" s="54" t="s">
        <v>95</v>
      </c>
      <c r="H8" s="8" t="s">
        <v>107</v>
      </c>
    </row>
    <row r="9" customFormat="false" ht="15" hidden="false" customHeight="true" outlineLevel="0" collapsed="false">
      <c r="A9" s="52" t="n">
        <v>5</v>
      </c>
      <c r="B9" s="8" t="s">
        <v>21</v>
      </c>
      <c r="C9" s="8" t="s">
        <v>108</v>
      </c>
      <c r="D9" s="8" t="s">
        <v>14</v>
      </c>
      <c r="E9" s="8" t="s">
        <v>109</v>
      </c>
      <c r="F9" s="53" t="n">
        <v>1710</v>
      </c>
      <c r="G9" s="54" t="s">
        <v>95</v>
      </c>
      <c r="H9" s="8" t="s">
        <v>110</v>
      </c>
    </row>
    <row r="10" customFormat="false" ht="15" hidden="false" customHeight="true" outlineLevel="0" collapsed="false">
      <c r="A10" s="52" t="n">
        <v>6</v>
      </c>
      <c r="B10" s="8" t="s">
        <v>21</v>
      </c>
      <c r="C10" s="8" t="s">
        <v>111</v>
      </c>
      <c r="D10" s="8" t="s">
        <v>14</v>
      </c>
      <c r="E10" s="8" t="s">
        <v>112</v>
      </c>
      <c r="F10" s="53" t="n">
        <v>1900</v>
      </c>
      <c r="G10" s="55" t="s">
        <v>113</v>
      </c>
      <c r="H10" s="8" t="s">
        <v>114</v>
      </c>
    </row>
    <row r="11" customFormat="false" ht="41.25" hidden="false" customHeight="true" outlineLevel="0" collapsed="false">
      <c r="A11" s="52" t="n">
        <v>7</v>
      </c>
      <c r="B11" s="8" t="s">
        <v>21</v>
      </c>
      <c r="C11" s="8" t="s">
        <v>115</v>
      </c>
      <c r="D11" s="8" t="s">
        <v>14</v>
      </c>
      <c r="E11" s="8" t="s">
        <v>116</v>
      </c>
      <c r="F11" s="53" t="n">
        <v>250</v>
      </c>
      <c r="G11" s="56" t="s">
        <v>117</v>
      </c>
      <c r="H11" s="8" t="s">
        <v>118</v>
      </c>
    </row>
    <row r="12" customFormat="false" ht="27.75" hidden="false" customHeight="true" outlineLevel="0" collapsed="false">
      <c r="A12" s="52" t="n">
        <v>8</v>
      </c>
      <c r="B12" s="8" t="s">
        <v>13</v>
      </c>
      <c r="C12" s="8" t="s">
        <v>119</v>
      </c>
      <c r="D12" s="8" t="s">
        <v>14</v>
      </c>
      <c r="E12" s="8" t="s">
        <v>120</v>
      </c>
      <c r="F12" s="53" t="n">
        <v>17600</v>
      </c>
      <c r="G12" s="55" t="s">
        <v>121</v>
      </c>
      <c r="H12" s="8" t="s">
        <v>122</v>
      </c>
    </row>
    <row r="13" customFormat="false" ht="27.75" hidden="false" customHeight="true" outlineLevel="0" collapsed="false">
      <c r="A13" s="52" t="n">
        <v>9</v>
      </c>
      <c r="B13" s="8" t="s">
        <v>23</v>
      </c>
      <c r="C13" s="8" t="s">
        <v>123</v>
      </c>
      <c r="D13" s="8" t="s">
        <v>124</v>
      </c>
      <c r="E13" s="8" t="s">
        <v>125</v>
      </c>
      <c r="F13" s="53" t="n">
        <v>1130</v>
      </c>
      <c r="G13" s="55" t="s">
        <v>126</v>
      </c>
      <c r="H13" s="8" t="s">
        <v>127</v>
      </c>
    </row>
    <row r="14" customFormat="false" ht="15" hidden="false" customHeight="true" outlineLevel="0" collapsed="false">
      <c r="A14" s="52" t="n">
        <v>10</v>
      </c>
      <c r="B14" s="8" t="s">
        <v>16</v>
      </c>
      <c r="C14" s="8" t="s">
        <v>128</v>
      </c>
      <c r="D14" s="8" t="s">
        <v>129</v>
      </c>
      <c r="E14" s="8" t="s">
        <v>130</v>
      </c>
      <c r="F14" s="53" t="n">
        <v>5000</v>
      </c>
      <c r="G14" s="55" t="s">
        <v>131</v>
      </c>
      <c r="H14" s="8" t="s">
        <v>132</v>
      </c>
    </row>
    <row r="15" customFormat="false" ht="15" hidden="false" customHeight="true" outlineLevel="0" collapsed="false">
      <c r="A15" s="52" t="n">
        <v>11</v>
      </c>
      <c r="B15" s="8" t="s">
        <v>19</v>
      </c>
      <c r="C15" s="8" t="s">
        <v>133</v>
      </c>
      <c r="D15" s="8" t="s">
        <v>134</v>
      </c>
      <c r="E15" s="8" t="s">
        <v>135</v>
      </c>
      <c r="F15" s="53" t="n">
        <v>62.9</v>
      </c>
      <c r="G15" s="54" t="s">
        <v>95</v>
      </c>
      <c r="H15" s="8" t="s">
        <v>136</v>
      </c>
    </row>
    <row r="16" customFormat="false" ht="15" hidden="false" customHeight="true" outlineLevel="0" collapsed="false">
      <c r="A16" s="52" t="n">
        <v>11</v>
      </c>
      <c r="B16" s="8" t="s">
        <v>26</v>
      </c>
      <c r="C16" s="8" t="s">
        <v>137</v>
      </c>
      <c r="D16" s="8" t="s">
        <v>27</v>
      </c>
      <c r="E16" s="8" t="s">
        <v>138</v>
      </c>
      <c r="F16" s="57" t="n">
        <v>1360</v>
      </c>
      <c r="G16" s="55" t="s">
        <v>139</v>
      </c>
      <c r="H16" s="8" t="s">
        <v>140</v>
      </c>
    </row>
    <row r="17" customFormat="false" ht="15" hidden="false" customHeight="true" outlineLevel="0" collapsed="false">
      <c r="A17" s="58"/>
      <c r="B17" s="58"/>
      <c r="C17" s="58"/>
      <c r="D17" s="58"/>
      <c r="E17" s="59" t="s">
        <v>141</v>
      </c>
      <c r="F17" s="60" t="n">
        <f aca="false">SUM(F5:F16)</f>
        <v>67641.89</v>
      </c>
      <c r="G17" s="58"/>
      <c r="H17" s="58"/>
    </row>
    <row r="18" customFormat="false" ht="15" hidden="false" customHeight="true" outlineLevel="0" collapsed="false">
      <c r="A18" s="58"/>
      <c r="B18" s="58"/>
      <c r="C18" s="58"/>
      <c r="D18" s="58"/>
      <c r="E18" s="61" t="s">
        <v>142</v>
      </c>
      <c r="F18" s="62" t="n">
        <f aca="false">Summary!$C$14</f>
        <v>67328.99</v>
      </c>
      <c r="G18" s="58"/>
      <c r="H18" s="58"/>
    </row>
    <row r="19" customFormat="false" ht="15" hidden="false" customHeight="true" outlineLevel="0" collapsed="false">
      <c r="A19" s="58"/>
      <c r="B19" s="58"/>
      <c r="C19" s="58"/>
      <c r="D19" s="58"/>
      <c r="E19" s="61" t="s">
        <v>143</v>
      </c>
      <c r="F19" s="62" t="n">
        <f aca="false">F17-F18</f>
        <v>312.899999999994</v>
      </c>
      <c r="G19" s="58"/>
      <c r="H19" s="58"/>
    </row>
    <row r="20" customFormat="false" ht="15" hidden="false" customHeight="true" outlineLevel="0" collapsed="false">
      <c r="A20" s="58"/>
      <c r="B20" s="58"/>
      <c r="C20" s="58"/>
      <c r="D20" s="58"/>
      <c r="E20" s="58"/>
      <c r="F20" s="58"/>
      <c r="G20" s="58"/>
      <c r="H20" s="58"/>
    </row>
    <row r="21" customFormat="false" ht="15" hidden="false" customHeight="true" outlineLevel="0" collapsed="false"/>
    <row r="2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20"/>
    <col collapsed="false" customWidth="true" hidden="false" outlineLevel="0" max="9" min="9" style="1" width="44"/>
  </cols>
  <sheetData>
    <row r="1" customFormat="false" ht="19.5" hidden="false" customHeight="true" outlineLevel="0" collapsed="false">
      <c r="A1" s="2" t="s">
        <v>144</v>
      </c>
    </row>
    <row r="2" customFormat="false" ht="15" hidden="false" customHeight="true" outlineLevel="0" collapsed="false">
      <c r="A2" s="5" t="s">
        <v>145</v>
      </c>
    </row>
    <row r="4" customFormat="false" ht="15" hidden="false" customHeight="true" outlineLevel="0" collapsed="false">
      <c r="A4" s="6" t="s">
        <v>3</v>
      </c>
      <c r="B4" s="6" t="s">
        <v>4</v>
      </c>
      <c r="C4" s="6" t="s">
        <v>146</v>
      </c>
      <c r="D4" s="6" t="s">
        <v>147</v>
      </c>
      <c r="E4" s="6" t="s">
        <v>148</v>
      </c>
      <c r="F4" s="6" t="s">
        <v>149</v>
      </c>
      <c r="G4" s="6" t="s">
        <v>150</v>
      </c>
      <c r="H4" s="6" t="s">
        <v>151</v>
      </c>
      <c r="I4" s="6" t="s">
        <v>9</v>
      </c>
    </row>
    <row r="5" customFormat="false" ht="27.75" hidden="false" customHeight="true" outlineLevel="0" collapsed="false">
      <c r="A5" s="8" t="s">
        <v>19</v>
      </c>
      <c r="B5" s="8" t="s">
        <v>152</v>
      </c>
      <c r="C5" s="8" t="s">
        <v>153</v>
      </c>
      <c r="D5" s="63"/>
      <c r="E5" s="63"/>
      <c r="F5" s="53" t="n">
        <v>3200</v>
      </c>
      <c r="G5" s="63" t="s">
        <v>154</v>
      </c>
      <c r="H5" s="8" t="s">
        <v>155</v>
      </c>
      <c r="I5" s="11" t="s">
        <v>156</v>
      </c>
    </row>
    <row r="6" customFormat="false" ht="15" hidden="false" customHeight="true" outlineLevel="0" collapsed="false">
      <c r="A6" s="8" t="s">
        <v>19</v>
      </c>
      <c r="B6" s="8" t="s">
        <v>157</v>
      </c>
      <c r="C6" s="8" t="s">
        <v>158</v>
      </c>
      <c r="D6" s="63"/>
      <c r="E6" s="63"/>
      <c r="F6" s="53" t="n">
        <v>1500</v>
      </c>
      <c r="G6" s="63" t="s">
        <v>159</v>
      </c>
      <c r="H6" s="8" t="s">
        <v>160</v>
      </c>
      <c r="I6" s="11" t="s">
        <v>161</v>
      </c>
    </row>
    <row r="7" customFormat="false" ht="15" hidden="false" customHeight="true" outlineLevel="0" collapsed="false">
      <c r="A7" s="8" t="s">
        <v>23</v>
      </c>
      <c r="B7" s="8" t="s">
        <v>24</v>
      </c>
      <c r="C7" s="8" t="s">
        <v>162</v>
      </c>
      <c r="D7" s="63"/>
      <c r="E7" s="63"/>
      <c r="F7" s="53" t="n">
        <v>480</v>
      </c>
      <c r="G7" s="63" t="s">
        <v>159</v>
      </c>
      <c r="H7" s="8" t="s">
        <v>163</v>
      </c>
      <c r="I7" s="11"/>
    </row>
    <row r="8" customFormat="false" ht="15" hidden="false" customHeight="true" outlineLevel="0" collapsed="false">
      <c r="A8" s="8" t="s">
        <v>19</v>
      </c>
      <c r="B8" s="8" t="s">
        <v>152</v>
      </c>
      <c r="C8" s="8" t="s">
        <v>164</v>
      </c>
      <c r="D8" s="63"/>
      <c r="E8" s="63"/>
      <c r="F8" s="53" t="n">
        <v>0</v>
      </c>
      <c r="G8" s="63" t="s">
        <v>159</v>
      </c>
      <c r="H8" s="8" t="s">
        <v>155</v>
      </c>
      <c r="I8" s="11" t="s">
        <v>165</v>
      </c>
    </row>
    <row r="9" customFormat="false" ht="27.75" hidden="false" customHeight="true" outlineLevel="0" collapsed="false">
      <c r="A9" s="8" t="s">
        <v>21</v>
      </c>
      <c r="B9" s="8" t="s">
        <v>152</v>
      </c>
      <c r="C9" s="8" t="s">
        <v>166</v>
      </c>
      <c r="D9" s="63"/>
      <c r="E9" s="63"/>
      <c r="F9" s="53" t="n">
        <v>3610</v>
      </c>
      <c r="G9" s="63" t="s">
        <v>154</v>
      </c>
      <c r="H9" s="8" t="s">
        <v>155</v>
      </c>
      <c r="I9" s="12" t="s">
        <v>167</v>
      </c>
    </row>
    <row r="10" customFormat="false" ht="15" hidden="false" customHeight="true" outlineLevel="0" collapsed="false">
      <c r="A10" s="8" t="s">
        <v>21</v>
      </c>
      <c r="B10" s="8" t="s">
        <v>157</v>
      </c>
      <c r="C10" s="8" t="s">
        <v>168</v>
      </c>
      <c r="D10" s="63"/>
      <c r="E10" s="63"/>
      <c r="F10" s="53" t="n">
        <v>1700</v>
      </c>
      <c r="G10" s="63" t="s">
        <v>159</v>
      </c>
      <c r="H10" s="8" t="s">
        <v>160</v>
      </c>
      <c r="I10" s="11" t="s">
        <v>161</v>
      </c>
    </row>
    <row r="11" customFormat="false" ht="15" hidden="false" customHeight="true" outlineLevel="0" collapsed="false">
      <c r="A11" s="8" t="s">
        <v>23</v>
      </c>
      <c r="B11" s="8" t="s">
        <v>24</v>
      </c>
      <c r="C11" s="8" t="s">
        <v>169</v>
      </c>
      <c r="D11" s="63"/>
      <c r="E11" s="63"/>
      <c r="F11" s="53" t="n">
        <v>650</v>
      </c>
      <c r="G11" s="63" t="s">
        <v>159</v>
      </c>
      <c r="H11" s="8" t="s">
        <v>163</v>
      </c>
      <c r="I11" s="11"/>
    </row>
    <row r="12" customFormat="false" ht="15" hidden="false" customHeight="true" outlineLevel="0" collapsed="false">
      <c r="A12" s="8" t="s">
        <v>21</v>
      </c>
      <c r="B12" s="8" t="s">
        <v>152</v>
      </c>
      <c r="C12" s="8" t="s">
        <v>164</v>
      </c>
      <c r="D12" s="63"/>
      <c r="E12" s="63"/>
      <c r="F12" s="53" t="n">
        <v>0</v>
      </c>
      <c r="G12" s="63" t="s">
        <v>159</v>
      </c>
      <c r="H12" s="8" t="s">
        <v>155</v>
      </c>
      <c r="I12" s="11" t="s">
        <v>170</v>
      </c>
    </row>
    <row r="13" customFormat="false" ht="27.75" hidden="false" customHeight="true" outlineLevel="0" collapsed="false">
      <c r="A13" s="8" t="s">
        <v>13</v>
      </c>
      <c r="B13" s="8" t="s">
        <v>152</v>
      </c>
      <c r="C13" s="8" t="s">
        <v>171</v>
      </c>
      <c r="D13" s="63"/>
      <c r="E13" s="63"/>
      <c r="F13" s="53" t="n">
        <v>17600</v>
      </c>
      <c r="G13" s="63" t="s">
        <v>154</v>
      </c>
      <c r="H13" s="8" t="s">
        <v>155</v>
      </c>
      <c r="I13" s="12" t="s">
        <v>172</v>
      </c>
    </row>
    <row r="14" customFormat="false" ht="15" hidden="false" customHeight="true" outlineLevel="0" collapsed="false">
      <c r="A14" s="8" t="s">
        <v>13</v>
      </c>
      <c r="B14" s="8" t="s">
        <v>152</v>
      </c>
      <c r="C14" s="8" t="s">
        <v>173</v>
      </c>
      <c r="D14" s="63"/>
      <c r="E14" s="63"/>
      <c r="F14" s="53" t="n">
        <v>0</v>
      </c>
      <c r="G14" s="63" t="s">
        <v>159</v>
      </c>
      <c r="H14" s="8" t="s">
        <v>155</v>
      </c>
      <c r="I14" s="11" t="s">
        <v>174</v>
      </c>
    </row>
    <row r="15" customFormat="false" ht="15" hidden="false" customHeight="true" outlineLevel="0" collapsed="false">
      <c r="A15" s="8" t="s">
        <v>10</v>
      </c>
      <c r="B15" s="8" t="s">
        <v>175</v>
      </c>
      <c r="C15" s="8" t="s">
        <v>176</v>
      </c>
      <c r="D15" s="63" t="n">
        <v>230</v>
      </c>
      <c r="E15" s="53" t="n">
        <v>66.49</v>
      </c>
      <c r="F15" s="53" t="n">
        <v>15292.7</v>
      </c>
      <c r="G15" s="63" t="s">
        <v>177</v>
      </c>
      <c r="H15" s="8" t="s">
        <v>178</v>
      </c>
      <c r="I15" s="11"/>
    </row>
    <row r="16" customFormat="false" ht="15" hidden="false" customHeight="true" outlineLevel="0" collapsed="false">
      <c r="A16" s="8" t="s">
        <v>10</v>
      </c>
      <c r="B16" s="8" t="s">
        <v>175</v>
      </c>
      <c r="C16" s="8" t="s">
        <v>179</v>
      </c>
      <c r="D16" s="63" t="n">
        <v>18</v>
      </c>
      <c r="E16" s="53" t="n">
        <v>58.09</v>
      </c>
      <c r="F16" s="53" t="n">
        <v>1045.62</v>
      </c>
      <c r="G16" s="63" t="s">
        <v>177</v>
      </c>
      <c r="H16" s="8" t="s">
        <v>178</v>
      </c>
      <c r="I16" s="11"/>
    </row>
    <row r="17" customFormat="false" ht="27.75" hidden="false" customHeight="true" outlineLevel="0" collapsed="false">
      <c r="A17" s="8" t="s">
        <v>10</v>
      </c>
      <c r="B17" s="8" t="s">
        <v>175</v>
      </c>
      <c r="C17" s="8" t="s">
        <v>180</v>
      </c>
      <c r="D17" s="63" t="n">
        <v>15</v>
      </c>
      <c r="E17" s="53" t="n">
        <v>72.25</v>
      </c>
      <c r="F17" s="53" t="n">
        <v>1083.75</v>
      </c>
      <c r="G17" s="63" t="s">
        <v>177</v>
      </c>
      <c r="H17" s="8" t="s">
        <v>178</v>
      </c>
      <c r="I17" s="11" t="s">
        <v>181</v>
      </c>
    </row>
    <row r="18" customFormat="false" ht="15" hidden="false" customHeight="true" outlineLevel="0" collapsed="false">
      <c r="A18" s="8" t="s">
        <v>10</v>
      </c>
      <c r="B18" s="8" t="s">
        <v>175</v>
      </c>
      <c r="C18" s="8" t="s">
        <v>182</v>
      </c>
      <c r="D18" s="63" t="n">
        <v>15</v>
      </c>
      <c r="E18" s="53" t="n">
        <v>59.89</v>
      </c>
      <c r="F18" s="53" t="n">
        <v>898.35</v>
      </c>
      <c r="G18" s="63" t="s">
        <v>177</v>
      </c>
      <c r="H18" s="8" t="s">
        <v>178</v>
      </c>
      <c r="I18" s="11"/>
    </row>
    <row r="19" customFormat="false" ht="15" hidden="false" customHeight="true" outlineLevel="0" collapsed="false">
      <c r="A19" s="8" t="s">
        <v>10</v>
      </c>
      <c r="B19" s="8" t="s">
        <v>175</v>
      </c>
      <c r="C19" s="8" t="s">
        <v>183</v>
      </c>
      <c r="D19" s="63" t="n">
        <v>24</v>
      </c>
      <c r="E19" s="53" t="n">
        <v>32.08</v>
      </c>
      <c r="F19" s="53" t="n">
        <v>770</v>
      </c>
      <c r="G19" s="63" t="s">
        <v>177</v>
      </c>
      <c r="H19" s="8" t="s">
        <v>178</v>
      </c>
      <c r="I19" s="11"/>
    </row>
    <row r="20" customFormat="false" ht="15" hidden="false" customHeight="true" outlineLevel="0" collapsed="false">
      <c r="A20" s="8" t="s">
        <v>10</v>
      </c>
      <c r="B20" s="8" t="s">
        <v>175</v>
      </c>
      <c r="C20" s="8" t="s">
        <v>184</v>
      </c>
      <c r="D20" s="63" t="n">
        <v>6</v>
      </c>
      <c r="E20" s="53" t="n">
        <v>10.25</v>
      </c>
      <c r="F20" s="53" t="n">
        <v>61.5</v>
      </c>
      <c r="G20" s="63" t="s">
        <v>177</v>
      </c>
      <c r="H20" s="8" t="s">
        <v>178</v>
      </c>
      <c r="I20" s="11"/>
    </row>
    <row r="21" customFormat="false" ht="27.75" hidden="false" customHeight="true" outlineLevel="0" collapsed="false">
      <c r="A21" s="8" t="s">
        <v>10</v>
      </c>
      <c r="B21" s="8" t="s">
        <v>175</v>
      </c>
      <c r="C21" s="8" t="s">
        <v>185</v>
      </c>
      <c r="D21" s="63" t="n">
        <v>266</v>
      </c>
      <c r="E21" s="53" t="n">
        <v>28.4</v>
      </c>
      <c r="F21" s="53" t="n">
        <v>7554.4</v>
      </c>
      <c r="G21" s="63" t="s">
        <v>177</v>
      </c>
      <c r="H21" s="8" t="s">
        <v>178</v>
      </c>
      <c r="I21" s="11" t="s">
        <v>186</v>
      </c>
    </row>
    <row r="22" customFormat="false" ht="15" hidden="false" customHeight="true" outlineLevel="0" collapsed="false">
      <c r="A22" s="8" t="s">
        <v>10</v>
      </c>
      <c r="B22" s="8" t="s">
        <v>175</v>
      </c>
      <c r="C22" s="8" t="s">
        <v>187</v>
      </c>
      <c r="D22" s="63" t="n">
        <v>16</v>
      </c>
      <c r="E22" s="53" t="n">
        <v>7.87</v>
      </c>
      <c r="F22" s="53" t="n">
        <v>125.92</v>
      </c>
      <c r="G22" s="63" t="s">
        <v>177</v>
      </c>
      <c r="H22" s="8" t="s">
        <v>178</v>
      </c>
      <c r="I22" s="11" t="s">
        <v>188</v>
      </c>
    </row>
    <row r="23" customFormat="false" ht="15" hidden="false" customHeight="true" outlineLevel="0" collapsed="false">
      <c r="A23" s="8" t="s">
        <v>10</v>
      </c>
      <c r="B23" s="8" t="s">
        <v>175</v>
      </c>
      <c r="C23" s="8" t="s">
        <v>189</v>
      </c>
      <c r="D23" s="63" t="n">
        <v>1</v>
      </c>
      <c r="E23" s="53" t="n">
        <v>15</v>
      </c>
      <c r="F23" s="53" t="n">
        <v>15</v>
      </c>
      <c r="G23" s="63" t="s">
        <v>177</v>
      </c>
      <c r="H23" s="8" t="s">
        <v>178</v>
      </c>
      <c r="I23" s="11"/>
    </row>
    <row r="24" customFormat="false" ht="15" hidden="false" customHeight="true" outlineLevel="0" collapsed="false">
      <c r="A24" s="8" t="s">
        <v>10</v>
      </c>
      <c r="B24" s="8" t="s">
        <v>175</v>
      </c>
      <c r="C24" s="8" t="s">
        <v>190</v>
      </c>
      <c r="D24" s="63" t="n">
        <v>1</v>
      </c>
      <c r="E24" s="53" t="n">
        <v>10.25</v>
      </c>
      <c r="F24" s="53" t="n">
        <v>10.25</v>
      </c>
      <c r="G24" s="63" t="s">
        <v>177</v>
      </c>
      <c r="H24" s="8" t="s">
        <v>178</v>
      </c>
      <c r="I24" s="11"/>
    </row>
    <row r="25" customFormat="false" ht="15" hidden="false" customHeight="true" outlineLevel="0" collapsed="false">
      <c r="A25" s="8" t="s">
        <v>10</v>
      </c>
      <c r="B25" s="8" t="s">
        <v>175</v>
      </c>
      <c r="C25" s="8" t="s">
        <v>191</v>
      </c>
      <c r="D25" s="63"/>
      <c r="E25" s="63"/>
      <c r="F25" s="53" t="n">
        <v>5371.5</v>
      </c>
      <c r="G25" s="63" t="s">
        <v>150</v>
      </c>
      <c r="H25" s="8" t="s">
        <v>178</v>
      </c>
      <c r="I25" s="11" t="s">
        <v>192</v>
      </c>
    </row>
    <row r="26" customFormat="false" ht="27.75" hidden="false" customHeight="true" outlineLevel="0" collapsed="false">
      <c r="A26" s="8" t="s">
        <v>16</v>
      </c>
      <c r="B26" s="8" t="s">
        <v>193</v>
      </c>
      <c r="C26" s="8" t="s">
        <v>194</v>
      </c>
      <c r="D26" s="63"/>
      <c r="E26" s="63"/>
      <c r="F26" s="53" t="n">
        <v>5000</v>
      </c>
      <c r="G26" s="63" t="s">
        <v>17</v>
      </c>
      <c r="H26" s="8" t="s">
        <v>195</v>
      </c>
      <c r="I26" s="11" t="s">
        <v>196</v>
      </c>
    </row>
    <row r="27" customFormat="false" ht="15" hidden="false" customHeight="true" outlineLevel="0" collapsed="false">
      <c r="A27" s="8" t="s">
        <v>16</v>
      </c>
      <c r="B27" s="8" t="s">
        <v>14</v>
      </c>
      <c r="C27" s="8" t="s">
        <v>197</v>
      </c>
      <c r="D27" s="63"/>
      <c r="E27" s="63"/>
      <c r="F27" s="53" t="n">
        <v>250</v>
      </c>
      <c r="G27" s="63" t="s">
        <v>193</v>
      </c>
      <c r="H27" s="8" t="s">
        <v>198</v>
      </c>
      <c r="I27" s="8" t="s">
        <v>199</v>
      </c>
    </row>
    <row r="28" customFormat="false" ht="15" hidden="false" customHeight="true" outlineLevel="0" collapsed="false">
      <c r="A28" s="8" t="s">
        <v>16</v>
      </c>
      <c r="B28" s="8" t="s">
        <v>200</v>
      </c>
      <c r="C28" s="8" t="s">
        <v>201</v>
      </c>
      <c r="D28" s="63" t="n">
        <v>1</v>
      </c>
      <c r="E28" s="53" t="n">
        <v>62.9</v>
      </c>
      <c r="F28" s="53" t="n">
        <v>62.9</v>
      </c>
      <c r="G28" s="63" t="s">
        <v>159</v>
      </c>
      <c r="H28" s="8" t="s">
        <v>202</v>
      </c>
      <c r="I28" s="8" t="s">
        <v>203</v>
      </c>
    </row>
    <row r="29" customFormat="false" ht="15" hidden="false" customHeight="true" outlineLevel="0" collapsed="false">
      <c r="A29" s="52" t="s">
        <v>23</v>
      </c>
      <c r="B29" s="52" t="s">
        <v>204</v>
      </c>
      <c r="C29" s="8" t="s">
        <v>205</v>
      </c>
      <c r="D29" s="52"/>
      <c r="E29" s="52"/>
      <c r="F29" s="52" t="n">
        <v>481.26</v>
      </c>
      <c r="G29" s="52" t="s">
        <v>159</v>
      </c>
      <c r="H29" s="52" t="s">
        <v>206</v>
      </c>
      <c r="I29" s="8" t="s">
        <v>207</v>
      </c>
    </row>
    <row r="30" customFormat="false" ht="15" hidden="false" customHeight="true" outlineLevel="0" collapsed="false">
      <c r="A30" s="52"/>
      <c r="B30" s="52"/>
      <c r="C30" s="8" t="s">
        <v>208</v>
      </c>
      <c r="D30" s="52"/>
      <c r="E30" s="52"/>
      <c r="F30" s="52" t="n">
        <v>0</v>
      </c>
      <c r="G30" s="52" t="s">
        <v>159</v>
      </c>
      <c r="H30" s="52" t="s">
        <v>206</v>
      </c>
      <c r="I30" s="8" t="s">
        <v>209</v>
      </c>
    </row>
    <row r="31" customFormat="false" ht="68.25" hidden="false" customHeight="true" outlineLevel="0" collapsed="false">
      <c r="A31" s="52" t="s">
        <v>16</v>
      </c>
      <c r="B31" s="52" t="s">
        <v>11</v>
      </c>
      <c r="C31" s="8" t="s">
        <v>210</v>
      </c>
      <c r="D31" s="52"/>
      <c r="E31" s="52"/>
      <c r="F31" s="52" t="n">
        <v>141.66</v>
      </c>
      <c r="G31" s="52" t="s">
        <v>159</v>
      </c>
      <c r="H31" s="52" t="s">
        <v>211</v>
      </c>
      <c r="I31" s="8" t="s">
        <v>212</v>
      </c>
    </row>
    <row r="32" customFormat="false" ht="54.75" hidden="false" customHeight="true" outlineLevel="0" collapsed="false">
      <c r="A32" s="8" t="s">
        <v>26</v>
      </c>
      <c r="B32" s="8" t="s">
        <v>27</v>
      </c>
      <c r="C32" s="8" t="s">
        <v>213</v>
      </c>
      <c r="D32" s="63"/>
      <c r="E32" s="63"/>
      <c r="F32" s="53" t="n">
        <v>1360</v>
      </c>
      <c r="G32" s="63" t="s">
        <v>17</v>
      </c>
      <c r="H32" s="8" t="s">
        <v>202</v>
      </c>
      <c r="I32" s="8" t="s">
        <v>214</v>
      </c>
    </row>
    <row r="33" customFormat="false" ht="15" hidden="false" customHeight="true" outlineLevel="0" collapsed="false">
      <c r="C33" s="64" t="s">
        <v>215</v>
      </c>
      <c r="F33" s="65" t="n">
        <f aca="false">SUM(F5:F32)</f>
        <v>68264.81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4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30"/>
  </cols>
  <sheetData>
    <row r="1" customFormat="false" ht="19.5" hidden="false" customHeight="true" outlineLevel="0" collapsed="false">
      <c r="A1" s="2" t="s">
        <v>216</v>
      </c>
    </row>
    <row r="2" customFormat="false" ht="15" hidden="false" customHeight="true" outlineLevel="0" collapsed="false">
      <c r="A2" s="5" t="s">
        <v>217</v>
      </c>
    </row>
    <row r="4" customFormat="false" ht="15" hidden="false" customHeight="true" outlineLevel="0" collapsed="false">
      <c r="A4" s="6" t="s">
        <v>218</v>
      </c>
      <c r="B4" s="6" t="s">
        <v>3</v>
      </c>
      <c r="C4" s="6" t="s">
        <v>4</v>
      </c>
      <c r="D4" s="6" t="s">
        <v>219</v>
      </c>
      <c r="E4" s="6" t="s">
        <v>220</v>
      </c>
      <c r="F4" s="6" t="s">
        <v>221</v>
      </c>
      <c r="G4" s="6" t="s">
        <v>222</v>
      </c>
      <c r="H4" s="6" t="s">
        <v>223</v>
      </c>
      <c r="I4" s="6" t="s">
        <v>9</v>
      </c>
    </row>
    <row r="5" customFormat="false" ht="27.75" hidden="false" customHeight="true" outlineLevel="0" collapsed="false">
      <c r="A5" s="66" t="n">
        <v>46212</v>
      </c>
      <c r="B5" s="8" t="s">
        <v>10</v>
      </c>
      <c r="C5" s="8" t="s">
        <v>11</v>
      </c>
      <c r="D5" s="8" t="s">
        <v>224</v>
      </c>
      <c r="E5" s="8" t="s">
        <v>225</v>
      </c>
      <c r="F5" s="53" t="n">
        <v>32228.99</v>
      </c>
      <c r="G5" s="66" t="n">
        <v>46212</v>
      </c>
      <c r="H5" s="52" t="s">
        <v>226</v>
      </c>
      <c r="I5" s="8" t="s">
        <v>227</v>
      </c>
    </row>
    <row r="6" customFormat="false" ht="15" hidden="false" customHeight="true" outlineLevel="0" collapsed="false">
      <c r="A6" s="66" t="n">
        <v>46223</v>
      </c>
      <c r="B6" s="8" t="s">
        <v>23</v>
      </c>
      <c r="C6" s="8" t="s">
        <v>228</v>
      </c>
      <c r="D6" s="8" t="s">
        <v>229</v>
      </c>
      <c r="E6" s="8" t="s">
        <v>230</v>
      </c>
      <c r="F6" s="53" t="n">
        <v>311.98</v>
      </c>
      <c r="G6" s="66" t="n">
        <v>46223</v>
      </c>
      <c r="H6" s="52" t="s">
        <v>231</v>
      </c>
      <c r="I6" s="8" t="s">
        <v>232</v>
      </c>
    </row>
    <row r="7" customFormat="false" ht="15" hidden="false" customHeight="true" outlineLevel="0" collapsed="false">
      <c r="A7" s="66" t="n">
        <v>46223</v>
      </c>
      <c r="B7" s="8" t="s">
        <v>19</v>
      </c>
      <c r="C7" s="8" t="s">
        <v>228</v>
      </c>
      <c r="D7" s="8" t="s">
        <v>229</v>
      </c>
      <c r="E7" s="8" t="s">
        <v>233</v>
      </c>
      <c r="F7" s="53" t="n">
        <v>111.71</v>
      </c>
      <c r="G7" s="66" t="n">
        <v>46223</v>
      </c>
      <c r="H7" s="52" t="s">
        <v>231</v>
      </c>
      <c r="I7" s="8" t="s">
        <v>234</v>
      </c>
    </row>
    <row r="8" customFormat="false" ht="15" hidden="false" customHeight="true" outlineLevel="0" collapsed="false">
      <c r="A8" s="66" t="n">
        <v>46223</v>
      </c>
      <c r="B8" s="8" t="s">
        <v>19</v>
      </c>
      <c r="C8" s="8" t="s">
        <v>98</v>
      </c>
      <c r="D8" s="8" t="s">
        <v>235</v>
      </c>
      <c r="E8" s="8" t="s">
        <v>236</v>
      </c>
      <c r="F8" s="53" t="n">
        <v>937.5</v>
      </c>
      <c r="G8" s="66" t="n">
        <v>46223</v>
      </c>
      <c r="H8" s="52" t="s">
        <v>235</v>
      </c>
      <c r="I8" s="8" t="s">
        <v>237</v>
      </c>
    </row>
    <row r="9" customFormat="false" ht="15" hidden="false" customHeight="true" outlineLevel="0" collapsed="false">
      <c r="A9" s="66" t="n">
        <v>46227</v>
      </c>
      <c r="B9" s="8" t="s">
        <v>19</v>
      </c>
      <c r="C9" s="8" t="s">
        <v>14</v>
      </c>
      <c r="D9" s="8" t="s">
        <v>238</v>
      </c>
      <c r="E9" s="8" t="s">
        <v>239</v>
      </c>
      <c r="F9" s="53" t="n">
        <v>3088.3</v>
      </c>
      <c r="G9" s="66" t="n">
        <v>46227</v>
      </c>
      <c r="H9" s="52" t="s">
        <v>211</v>
      </c>
      <c r="I9" s="8" t="s">
        <v>240</v>
      </c>
    </row>
    <row r="10" customFormat="false" ht="15" hidden="false" customHeight="true" outlineLevel="0" collapsed="false">
      <c r="A10" s="66" t="n">
        <v>46225</v>
      </c>
      <c r="B10" s="8" t="s">
        <v>23</v>
      </c>
      <c r="C10" s="8" t="s">
        <v>241</v>
      </c>
      <c r="D10" s="8" t="s">
        <v>242</v>
      </c>
      <c r="E10" s="8" t="s">
        <v>243</v>
      </c>
      <c r="F10" s="53" t="n">
        <v>162.96</v>
      </c>
      <c r="G10" s="66" t="n">
        <v>46225</v>
      </c>
      <c r="H10" s="52" t="s">
        <v>231</v>
      </c>
      <c r="I10" s="8" t="s">
        <v>244</v>
      </c>
    </row>
    <row r="11" customFormat="false" ht="15" hidden="false" customHeight="true" outlineLevel="0" collapsed="false">
      <c r="A11" s="66" t="n">
        <v>46238</v>
      </c>
      <c r="B11" s="8" t="s">
        <v>23</v>
      </c>
      <c r="C11" s="8" t="s">
        <v>228</v>
      </c>
      <c r="D11" s="8" t="s">
        <v>245</v>
      </c>
      <c r="E11" s="8" t="s">
        <v>246</v>
      </c>
      <c r="F11" s="53" t="n">
        <v>148.53</v>
      </c>
      <c r="G11" s="66" t="n">
        <v>46238</v>
      </c>
      <c r="H11" s="52" t="s">
        <v>231</v>
      </c>
      <c r="I11" s="8" t="s">
        <v>247</v>
      </c>
    </row>
    <row r="12" customFormat="false" ht="15" hidden="false" customHeight="true" outlineLevel="0" collapsed="false">
      <c r="A12" s="66" t="n">
        <v>46241</v>
      </c>
      <c r="B12" s="8" t="s">
        <v>21</v>
      </c>
      <c r="C12" s="8" t="s">
        <v>14</v>
      </c>
      <c r="D12" s="8" t="s">
        <v>235</v>
      </c>
      <c r="E12" s="8" t="s">
        <v>248</v>
      </c>
      <c r="F12" s="53" t="n">
        <v>1710</v>
      </c>
      <c r="G12" s="66" t="n">
        <v>46241</v>
      </c>
      <c r="H12" s="52" t="s">
        <v>235</v>
      </c>
      <c r="I12" s="8" t="s">
        <v>249</v>
      </c>
    </row>
    <row r="13" customFormat="false" ht="15" hidden="false" customHeight="true" outlineLevel="0" collapsed="false">
      <c r="A13" s="66" t="n">
        <v>46244</v>
      </c>
      <c r="B13" s="8" t="s">
        <v>16</v>
      </c>
      <c r="C13" s="8" t="s">
        <v>200</v>
      </c>
      <c r="D13" s="8" t="s">
        <v>250</v>
      </c>
      <c r="E13" s="8" t="s">
        <v>251</v>
      </c>
      <c r="F13" s="53" t="n">
        <v>62.9</v>
      </c>
      <c r="G13" s="66" t="n">
        <v>46244</v>
      </c>
      <c r="H13" s="52" t="s">
        <v>252</v>
      </c>
      <c r="I13" s="8" t="s">
        <v>253</v>
      </c>
    </row>
    <row r="14" customFormat="false" ht="15" hidden="false" customHeight="true" outlineLevel="0" collapsed="false">
      <c r="A14" s="66" t="n">
        <v>46244</v>
      </c>
      <c r="B14" s="8" t="s">
        <v>26</v>
      </c>
      <c r="C14" s="8" t="s">
        <v>254</v>
      </c>
      <c r="D14" s="8" t="s">
        <v>255</v>
      </c>
      <c r="E14" s="8" t="s">
        <v>256</v>
      </c>
      <c r="F14" s="53" t="n">
        <v>344.16</v>
      </c>
      <c r="G14" s="66" t="n">
        <v>46244</v>
      </c>
      <c r="H14" s="52" t="s">
        <v>252</v>
      </c>
      <c r="I14" s="8" t="s">
        <v>257</v>
      </c>
    </row>
    <row r="15" customFormat="false" ht="15" hidden="false" customHeight="true" outlineLevel="0" collapsed="false">
      <c r="A15" s="67" t="n">
        <v>46245</v>
      </c>
      <c r="B15" s="68" t="s">
        <v>26</v>
      </c>
      <c r="C15" s="68" t="s">
        <v>254</v>
      </c>
      <c r="D15" s="68" t="s">
        <v>258</v>
      </c>
      <c r="E15" s="69" t="s">
        <v>259</v>
      </c>
      <c r="F15" s="70" t="n">
        <v>-344.16</v>
      </c>
      <c r="G15" s="67" t="n">
        <v>46247</v>
      </c>
      <c r="H15" s="68" t="s">
        <v>17</v>
      </c>
      <c r="I15" s="69" t="s">
        <v>260</v>
      </c>
    </row>
    <row r="16" customFormat="false" ht="15" hidden="false" customHeight="true" outlineLevel="0" collapsed="false">
      <c r="A16" s="67" t="n">
        <v>46245</v>
      </c>
      <c r="B16" s="68" t="s">
        <v>26</v>
      </c>
      <c r="C16" s="68" t="s">
        <v>261</v>
      </c>
      <c r="D16" s="68" t="s">
        <v>262</v>
      </c>
      <c r="E16" s="69" t="s">
        <v>263</v>
      </c>
      <c r="F16" s="70" t="n">
        <v>390</v>
      </c>
      <c r="G16" s="67" t="n">
        <v>46246</v>
      </c>
      <c r="H16" s="68" t="s">
        <v>193</v>
      </c>
      <c r="I16" s="69" t="s">
        <v>264</v>
      </c>
    </row>
    <row r="17" customFormat="false" ht="15" hidden="false" customHeight="true" outlineLevel="0" collapsed="false">
      <c r="A17" s="67" t="n">
        <v>46246</v>
      </c>
      <c r="B17" s="68" t="s">
        <v>26</v>
      </c>
      <c r="C17" s="68" t="s">
        <v>261</v>
      </c>
      <c r="D17" s="68" t="s">
        <v>265</v>
      </c>
      <c r="E17" s="69" t="s">
        <v>266</v>
      </c>
      <c r="F17" s="70" t="n">
        <v>390</v>
      </c>
      <c r="G17" s="67" t="n">
        <v>46246</v>
      </c>
      <c r="H17" s="68" t="s">
        <v>193</v>
      </c>
      <c r="I17" s="69" t="s">
        <v>267</v>
      </c>
    </row>
    <row r="18" customFormat="false" ht="15" hidden="false" customHeight="true" outlineLevel="0" collapsed="false">
      <c r="A18" s="67" t="n">
        <v>46247</v>
      </c>
      <c r="B18" s="68" t="s">
        <v>21</v>
      </c>
      <c r="C18" s="68" t="s">
        <v>14</v>
      </c>
      <c r="D18" s="68" t="s">
        <v>268</v>
      </c>
      <c r="E18" s="69" t="s">
        <v>269</v>
      </c>
      <c r="F18" s="70" t="n">
        <v>1900</v>
      </c>
      <c r="G18" s="67" t="n">
        <v>46248</v>
      </c>
      <c r="H18" s="68" t="s">
        <v>211</v>
      </c>
      <c r="I18" s="69" t="s">
        <v>270</v>
      </c>
    </row>
    <row r="19" customFormat="false" ht="15" hidden="false" customHeight="true" outlineLevel="0" collapsed="false">
      <c r="A19" s="67" t="n">
        <v>46247</v>
      </c>
      <c r="B19" s="68" t="s">
        <v>16</v>
      </c>
      <c r="C19" s="68" t="s">
        <v>14</v>
      </c>
      <c r="D19" s="68" t="s">
        <v>268</v>
      </c>
      <c r="E19" s="69" t="s">
        <v>271</v>
      </c>
      <c r="F19" s="70" t="n">
        <v>250</v>
      </c>
      <c r="G19" s="67" t="n">
        <v>46248</v>
      </c>
      <c r="H19" s="68" t="s">
        <v>211</v>
      </c>
      <c r="I19" s="69" t="s">
        <v>272</v>
      </c>
    </row>
    <row r="20" customFormat="false" ht="15" hidden="false" customHeight="true" outlineLevel="0" collapsed="false">
      <c r="A20" s="67" t="n">
        <v>46250</v>
      </c>
      <c r="B20" s="68" t="s">
        <v>23</v>
      </c>
      <c r="C20" s="68" t="s">
        <v>273</v>
      </c>
      <c r="D20" s="68" t="s">
        <v>274</v>
      </c>
      <c r="E20" s="69" t="s">
        <v>275</v>
      </c>
      <c r="F20" s="70" t="n">
        <v>47.99</v>
      </c>
      <c r="G20" s="67" t="n">
        <v>46250</v>
      </c>
      <c r="H20" s="68" t="s">
        <v>276</v>
      </c>
      <c r="I20" s="69" t="s">
        <v>277</v>
      </c>
    </row>
    <row r="21" customFormat="false" ht="15" hidden="false" customHeight="true" outlineLevel="0" collapsed="false">
      <c r="A21" s="67" t="n">
        <v>46251</v>
      </c>
      <c r="B21" s="68" t="s">
        <v>23</v>
      </c>
      <c r="C21" s="68" t="s">
        <v>204</v>
      </c>
      <c r="D21" s="68" t="s">
        <v>278</v>
      </c>
      <c r="E21" s="69" t="s">
        <v>279</v>
      </c>
      <c r="F21" s="70" t="n">
        <v>481.28</v>
      </c>
      <c r="G21" s="67" t="n">
        <v>46252</v>
      </c>
      <c r="H21" s="68" t="s">
        <v>211</v>
      </c>
      <c r="I21" s="69" t="s">
        <v>280</v>
      </c>
    </row>
    <row r="22" customFormat="false" ht="15" hidden="false" customHeight="true" outlineLevel="0" collapsed="false">
      <c r="A22" s="67" t="n">
        <v>46253</v>
      </c>
      <c r="B22" s="68" t="s">
        <v>23</v>
      </c>
      <c r="C22" s="68" t="s">
        <v>228</v>
      </c>
      <c r="D22" s="68" t="s">
        <v>281</v>
      </c>
      <c r="E22" s="69" t="s">
        <v>282</v>
      </c>
      <c r="F22" s="70" t="n">
        <v>-72.23</v>
      </c>
      <c r="G22" s="67" t="n">
        <v>46253</v>
      </c>
      <c r="H22" s="68" t="s">
        <v>211</v>
      </c>
      <c r="I22" s="69" t="s">
        <v>283</v>
      </c>
    </row>
    <row r="23" customFormat="false" ht="15" hidden="false" customHeight="true" outlineLevel="0" collapsed="false">
      <c r="A23" s="67" t="n">
        <v>46251</v>
      </c>
      <c r="B23" s="68" t="s">
        <v>16</v>
      </c>
      <c r="C23" s="68" t="s">
        <v>204</v>
      </c>
      <c r="D23" s="68" t="s">
        <v>284</v>
      </c>
      <c r="E23" s="69" t="s">
        <v>285</v>
      </c>
      <c r="F23" s="70" t="n">
        <v>26.42</v>
      </c>
      <c r="G23" s="67" t="n">
        <v>46252</v>
      </c>
      <c r="H23" s="68" t="s">
        <v>211</v>
      </c>
      <c r="I23" s="69" t="s">
        <v>286</v>
      </c>
    </row>
    <row r="24" customFormat="false" ht="15" hidden="false" customHeight="true" outlineLevel="0" collapsed="false">
      <c r="A24" s="67" t="n">
        <v>46244</v>
      </c>
      <c r="B24" s="68" t="s">
        <v>23</v>
      </c>
      <c r="C24" s="68" t="s">
        <v>204</v>
      </c>
      <c r="D24" s="68" t="s">
        <v>287</v>
      </c>
      <c r="E24" s="69" t="s">
        <v>288</v>
      </c>
      <c r="F24" s="70" t="n">
        <v>40.18</v>
      </c>
      <c r="G24" s="67" t="n">
        <v>46252</v>
      </c>
      <c r="H24" s="68" t="s">
        <v>211</v>
      </c>
      <c r="I24" s="69" t="s">
        <v>289</v>
      </c>
    </row>
    <row r="25" customFormat="false" ht="15" hidden="false" customHeight="true" outlineLevel="0" collapsed="false">
      <c r="A25" s="67" t="n">
        <v>46252</v>
      </c>
      <c r="B25" s="68" t="s">
        <v>13</v>
      </c>
      <c r="C25" s="68" t="s">
        <v>14</v>
      </c>
      <c r="D25" s="68" t="s">
        <v>290</v>
      </c>
      <c r="E25" s="69" t="s">
        <v>291</v>
      </c>
      <c r="F25" s="70" t="n">
        <v>4400</v>
      </c>
      <c r="G25" s="67" t="n">
        <v>46254</v>
      </c>
      <c r="H25" s="68" t="s">
        <v>211</v>
      </c>
      <c r="I25" s="69" t="s">
        <v>292</v>
      </c>
    </row>
    <row r="26" customFormat="false" ht="54.75" hidden="false" customHeight="true" outlineLevel="0" collapsed="false">
      <c r="A26" s="66" t="n">
        <v>46223</v>
      </c>
      <c r="B26" s="52" t="s">
        <v>21</v>
      </c>
      <c r="C26" s="52" t="s">
        <v>98</v>
      </c>
      <c r="D26" s="52" t="s">
        <v>235</v>
      </c>
      <c r="E26" s="8" t="s">
        <v>293</v>
      </c>
      <c r="F26" s="52" t="n">
        <v>1062.5</v>
      </c>
      <c r="G26" s="66" t="n">
        <v>46223</v>
      </c>
      <c r="H26" s="52" t="s">
        <v>235</v>
      </c>
      <c r="I26" s="8" t="s">
        <v>294</v>
      </c>
    </row>
    <row r="27" customFormat="false" ht="54.75" hidden="false" customHeight="true" outlineLevel="0" collapsed="false">
      <c r="A27" s="66" t="n">
        <v>46252</v>
      </c>
      <c r="B27" s="52" t="s">
        <v>19</v>
      </c>
      <c r="C27" s="52" t="s">
        <v>98</v>
      </c>
      <c r="D27" s="52" t="s">
        <v>17</v>
      </c>
      <c r="E27" s="8" t="s">
        <v>295</v>
      </c>
      <c r="F27" s="52" t="n">
        <v>562.5</v>
      </c>
      <c r="G27" s="66" t="n">
        <v>46252</v>
      </c>
      <c r="H27" s="52" t="s">
        <v>193</v>
      </c>
      <c r="I27" s="8" t="s">
        <v>296</v>
      </c>
    </row>
    <row r="28" customFormat="false" ht="27.75" hidden="false" customHeight="true" outlineLevel="0" collapsed="false">
      <c r="A28" s="66" t="n">
        <v>46252</v>
      </c>
      <c r="B28" s="52" t="s">
        <v>21</v>
      </c>
      <c r="C28" s="52" t="s">
        <v>98</v>
      </c>
      <c r="D28" s="52" t="s">
        <v>17</v>
      </c>
      <c r="E28" s="8" t="s">
        <v>297</v>
      </c>
      <c r="F28" s="52" t="n">
        <v>637.5</v>
      </c>
      <c r="G28" s="66" t="n">
        <v>46252</v>
      </c>
      <c r="H28" s="52" t="s">
        <v>193</v>
      </c>
      <c r="I28" s="8" t="s">
        <v>298</v>
      </c>
    </row>
    <row r="29" customFormat="false" ht="27.75" hidden="false" customHeight="true" outlineLevel="0" collapsed="false">
      <c r="A29" s="66" t="n">
        <v>46258</v>
      </c>
      <c r="B29" s="52" t="s">
        <v>16</v>
      </c>
      <c r="C29" s="52" t="s">
        <v>11</v>
      </c>
      <c r="D29" s="52" t="s">
        <v>299</v>
      </c>
      <c r="E29" s="8" t="s">
        <v>300</v>
      </c>
      <c r="F29" s="52" t="n">
        <v>141.66</v>
      </c>
      <c r="G29" s="66" t="n">
        <v>46258</v>
      </c>
      <c r="H29" s="52" t="s">
        <v>211</v>
      </c>
      <c r="I29" s="8" t="s">
        <v>301</v>
      </c>
    </row>
    <row r="30" customFormat="false" ht="108.75" hidden="false" customHeight="true" outlineLevel="0" collapsed="false">
      <c r="A30" s="66" t="n">
        <v>46269</v>
      </c>
      <c r="B30" s="52" t="s">
        <v>13</v>
      </c>
      <c r="C30" s="52" t="s">
        <v>14</v>
      </c>
      <c r="D30" s="52" t="s">
        <v>235</v>
      </c>
      <c r="E30" s="8" t="s">
        <v>302</v>
      </c>
      <c r="F30" s="52" t="n">
        <v>2000</v>
      </c>
      <c r="G30" s="66" t="n">
        <v>46269</v>
      </c>
      <c r="H30" s="52" t="s">
        <v>235</v>
      </c>
      <c r="I30" s="8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304</v>
      </c>
    </row>
    <row r="2" customFormat="false" ht="15" hidden="false" customHeight="true" outlineLevel="0" collapsed="false">
      <c r="A2" s="5" t="s">
        <v>305</v>
      </c>
    </row>
    <row r="4" customFormat="false" ht="15.75" hidden="false" customHeight="true" outlineLevel="0" collapsed="false">
      <c r="A4" s="3" t="s">
        <v>306</v>
      </c>
      <c r="B4" s="71" t="n">
        <v>1360</v>
      </c>
      <c r="C4" s="3" t="s">
        <v>307</v>
      </c>
      <c r="D4" s="72" t="n">
        <f aca="false">B4-SUM(E8:E40)</f>
        <v>580</v>
      </c>
    </row>
    <row r="7" customFormat="false" ht="15" hidden="false" customHeight="true" outlineLevel="0" collapsed="false">
      <c r="A7" s="6" t="s">
        <v>308</v>
      </c>
      <c r="B7" s="6" t="s">
        <v>309</v>
      </c>
      <c r="C7" s="6" t="s">
        <v>310</v>
      </c>
      <c r="D7" s="6" t="s">
        <v>311</v>
      </c>
      <c r="E7" s="6" t="s">
        <v>312</v>
      </c>
      <c r="F7" s="6" t="s">
        <v>313</v>
      </c>
    </row>
    <row r="8" customFormat="false" ht="27.75" hidden="false" customHeight="true" outlineLevel="0" collapsed="false">
      <c r="A8" s="66" t="n">
        <v>46244</v>
      </c>
      <c r="B8" s="8" t="s">
        <v>254</v>
      </c>
      <c r="C8" s="8" t="s">
        <v>314</v>
      </c>
      <c r="D8" s="8" t="s">
        <v>315</v>
      </c>
      <c r="E8" s="53" t="n">
        <v>344.16</v>
      </c>
      <c r="F8" s="10" t="n">
        <f aca="false">IF(E8="","",$B$4-SUM($E$8:E8))</f>
        <v>1015.84</v>
      </c>
    </row>
    <row r="9" customFormat="false" ht="15" hidden="false" customHeight="true" outlineLevel="0" collapsed="false">
      <c r="A9" s="67" t="n">
        <v>46245</v>
      </c>
      <c r="B9" s="69" t="s">
        <v>254</v>
      </c>
      <c r="C9" s="69" t="s">
        <v>316</v>
      </c>
      <c r="D9" s="69" t="s">
        <v>317</v>
      </c>
      <c r="E9" s="70" t="n">
        <v>-344.16</v>
      </c>
      <c r="F9" s="10" t="n">
        <f aca="false">IF(E9="","",$B$4-SUM($E$8:E9))</f>
        <v>1360</v>
      </c>
    </row>
    <row r="10" customFormat="false" ht="15" hidden="false" customHeight="true" outlineLevel="0" collapsed="false">
      <c r="A10" s="67" t="n">
        <v>46245</v>
      </c>
      <c r="B10" s="69" t="s">
        <v>261</v>
      </c>
      <c r="C10" s="69" t="s">
        <v>318</v>
      </c>
      <c r="D10" s="69" t="s">
        <v>315</v>
      </c>
      <c r="E10" s="70" t="n">
        <v>390</v>
      </c>
      <c r="F10" s="10" t="n">
        <f aca="false">IF(E10="","",$B$4-SUM($E$8:E10))</f>
        <v>970</v>
      </c>
    </row>
    <row r="11" customFormat="false" ht="15" hidden="false" customHeight="true" outlineLevel="0" collapsed="false">
      <c r="A11" s="67" t="n">
        <v>46246</v>
      </c>
      <c r="B11" s="69" t="s">
        <v>261</v>
      </c>
      <c r="C11" s="69" t="s">
        <v>319</v>
      </c>
      <c r="D11" s="69" t="s">
        <v>315</v>
      </c>
      <c r="E11" s="70" t="n">
        <v>390</v>
      </c>
      <c r="F11" s="10" t="n">
        <f aca="false">IF(E11="","",$B$4-SUM($E$8:E11))</f>
        <v>580</v>
      </c>
    </row>
    <row r="12" customFormat="false" ht="15" hidden="false" customHeight="true" outlineLevel="0" collapsed="false">
      <c r="A12" s="73"/>
      <c r="B12" s="74"/>
      <c r="C12" s="74"/>
      <c r="D12" s="74"/>
      <c r="E12" s="75"/>
      <c r="F12" s="10" t="str">
        <f aca="false">IF(E12="","",$B$4-SUM($E$8:E12))</f>
        <v/>
      </c>
    </row>
    <row r="13" customFormat="false" ht="15" hidden="false" customHeight="true" outlineLevel="0" collapsed="false">
      <c r="A13" s="73"/>
      <c r="B13" s="74"/>
      <c r="C13" s="74"/>
      <c r="D13" s="74"/>
      <c r="E13" s="75"/>
      <c r="F13" s="10" t="str">
        <f aca="false">IF(E13="","",$B$4-SUM($E$8:E13))</f>
        <v/>
      </c>
    </row>
    <row r="14" customFormat="false" ht="15" hidden="false" customHeight="true" outlineLevel="0" collapsed="false">
      <c r="A14" s="73"/>
      <c r="B14" s="74"/>
      <c r="C14" s="74"/>
      <c r="D14" s="74"/>
      <c r="E14" s="75"/>
      <c r="F14" s="10" t="str">
        <f aca="false">IF(E14="","",$B$4-SUM($E$8:E14))</f>
        <v/>
      </c>
    </row>
    <row r="15" customFormat="false" ht="15" hidden="false" customHeight="true" outlineLevel="0" collapsed="false">
      <c r="A15" s="73"/>
      <c r="B15" s="74"/>
      <c r="C15" s="74"/>
      <c r="D15" s="74"/>
      <c r="E15" s="75"/>
      <c r="F15" s="10" t="str">
        <f aca="false">IF(E15="","",$B$4-SUM($E$8:E15))</f>
        <v/>
      </c>
    </row>
    <row r="16" customFormat="false" ht="15" hidden="false" customHeight="true" outlineLevel="0" collapsed="false">
      <c r="A16" s="73"/>
      <c r="B16" s="74"/>
      <c r="C16" s="74"/>
      <c r="D16" s="74"/>
      <c r="E16" s="75"/>
      <c r="F16" s="10" t="str">
        <f aca="false">IF(E16="","",$B$4-SUM($E$8:E16))</f>
        <v/>
      </c>
    </row>
    <row r="17" customFormat="false" ht="15" hidden="false" customHeight="true" outlineLevel="0" collapsed="false">
      <c r="A17" s="73"/>
      <c r="B17" s="74"/>
      <c r="C17" s="74"/>
      <c r="D17" s="74"/>
      <c r="E17" s="75"/>
      <c r="F17" s="10" t="str">
        <f aca="false">IF(E17="","",$B$4-SUM($E$8:E17))</f>
        <v/>
      </c>
    </row>
    <row r="18" customFormat="false" ht="15" hidden="false" customHeight="true" outlineLevel="0" collapsed="false">
      <c r="A18" s="73"/>
      <c r="B18" s="74"/>
      <c r="C18" s="74"/>
      <c r="D18" s="74"/>
      <c r="E18" s="75"/>
      <c r="F18" s="10" t="str">
        <f aca="false">IF(E18="","",$B$4-SUM($E$8:E18))</f>
        <v/>
      </c>
    </row>
    <row r="19" customFormat="false" ht="15" hidden="false" customHeight="true" outlineLevel="0" collapsed="false">
      <c r="A19" s="73"/>
      <c r="B19" s="74"/>
      <c r="C19" s="74"/>
      <c r="D19" s="74"/>
      <c r="E19" s="75"/>
      <c r="F19" s="10" t="str">
        <f aca="false">IF(E19="","",$B$4-SUM($E$8:E19))</f>
        <v/>
      </c>
    </row>
    <row r="20" customFormat="false" ht="15" hidden="false" customHeight="true" outlineLevel="0" collapsed="false">
      <c r="A20" s="73"/>
      <c r="B20" s="74"/>
      <c r="C20" s="74"/>
      <c r="D20" s="74"/>
      <c r="E20" s="75"/>
      <c r="F20" s="10" t="str">
        <f aca="false">IF(E20="","",$B$4-SUM($E$8:E20))</f>
        <v/>
      </c>
    </row>
    <row r="21" customFormat="false" ht="15" hidden="false" customHeight="true" outlineLevel="0" collapsed="false">
      <c r="A21" s="73"/>
      <c r="B21" s="74"/>
      <c r="C21" s="74"/>
      <c r="D21" s="74"/>
      <c r="E21" s="75"/>
      <c r="F21" s="10" t="str">
        <f aca="false">IF(E21="","",$B$4-SUM($E$8:E21))</f>
        <v/>
      </c>
    </row>
    <row r="22" customFormat="false" ht="15" hidden="false" customHeight="true" outlineLevel="0" collapsed="false">
      <c r="A22" s="73"/>
      <c r="B22" s="74"/>
      <c r="C22" s="74"/>
      <c r="D22" s="74"/>
      <c r="E22" s="75"/>
      <c r="F22" s="10" t="str">
        <f aca="false">IF(E22="","",$B$4-SUM($E$8:E22))</f>
        <v/>
      </c>
    </row>
    <row r="23" customFormat="false" ht="15" hidden="false" customHeight="true" outlineLevel="0" collapsed="false">
      <c r="A23" s="73"/>
      <c r="B23" s="74"/>
      <c r="C23" s="74"/>
      <c r="D23" s="74"/>
      <c r="E23" s="75"/>
      <c r="F23" s="10" t="str">
        <f aca="false">IF(E23="","",$B$4-SUM($E$8:E23))</f>
        <v/>
      </c>
    </row>
    <row r="24" customFormat="false" ht="15" hidden="false" customHeight="true" outlineLevel="0" collapsed="false">
      <c r="A24" s="73"/>
      <c r="B24" s="74"/>
      <c r="C24" s="74"/>
      <c r="D24" s="74"/>
      <c r="E24" s="75"/>
      <c r="F24" s="10" t="str">
        <f aca="false">IF(E24="","",$B$4-SUM($E$8:E24))</f>
        <v/>
      </c>
    </row>
    <row r="25" customFormat="false" ht="15" hidden="false" customHeight="true" outlineLevel="0" collapsed="false">
      <c r="A25" s="73"/>
      <c r="B25" s="74"/>
      <c r="C25" s="74"/>
      <c r="D25" s="74"/>
      <c r="E25" s="75"/>
      <c r="F25" s="10" t="str">
        <f aca="false">IF(E25="","",$B$4-SUM($E$8:E25))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320</v>
      </c>
    </row>
    <row r="2" customFormat="false" ht="15" hidden="false" customHeight="true" outlineLevel="0" collapsed="false">
      <c r="A2" s="5" t="s">
        <v>321</v>
      </c>
    </row>
    <row r="4" customFormat="false" ht="15.75" hidden="false" customHeight="true" outlineLevel="0" collapsed="false">
      <c r="A4" s="3" t="s">
        <v>306</v>
      </c>
      <c r="B4" s="71" t="n">
        <v>1130</v>
      </c>
      <c r="C4" s="3" t="s">
        <v>307</v>
      </c>
      <c r="D4" s="72" t="n">
        <f aca="false">B4-SUM(E8:E40)</f>
        <v>-62.9000000000001</v>
      </c>
    </row>
    <row r="7" customFormat="false" ht="15" hidden="false" customHeight="true" outlineLevel="0" collapsed="false">
      <c r="A7" s="6" t="s">
        <v>308</v>
      </c>
      <c r="B7" s="6" t="s">
        <v>322</v>
      </c>
      <c r="C7" s="6" t="s">
        <v>323</v>
      </c>
      <c r="D7" s="6" t="s">
        <v>311</v>
      </c>
      <c r="E7" s="6" t="s">
        <v>312</v>
      </c>
      <c r="F7" s="6" t="s">
        <v>313</v>
      </c>
    </row>
    <row r="8" customFormat="false" ht="41.25" hidden="false" customHeight="true" outlineLevel="0" collapsed="false">
      <c r="A8" s="66" t="n">
        <v>46223</v>
      </c>
      <c r="B8" s="8" t="s">
        <v>228</v>
      </c>
      <c r="C8" s="8" t="s">
        <v>324</v>
      </c>
      <c r="D8" s="52" t="s">
        <v>325</v>
      </c>
      <c r="E8" s="53" t="n">
        <v>311.98</v>
      </c>
      <c r="F8" s="10" t="n">
        <f aca="false">IF(E8="","",$B$4-SUM($E$8:E8))</f>
        <v>818.02</v>
      </c>
    </row>
    <row r="9" customFormat="false" ht="15" hidden="false" customHeight="true" outlineLevel="0" collapsed="false">
      <c r="A9" s="66" t="n">
        <v>46225</v>
      </c>
      <c r="B9" s="8" t="s">
        <v>241</v>
      </c>
      <c r="C9" s="8" t="s">
        <v>326</v>
      </c>
      <c r="D9" s="52" t="s">
        <v>327</v>
      </c>
      <c r="E9" s="53" t="n">
        <v>162.96</v>
      </c>
      <c r="F9" s="10" t="n">
        <f aca="false">IF(E9="","",$B$4-SUM($E$8:E9))</f>
        <v>655.06</v>
      </c>
    </row>
    <row r="10" customFormat="false" ht="15" hidden="false" customHeight="true" outlineLevel="0" collapsed="false">
      <c r="A10" s="66" t="n">
        <v>46238</v>
      </c>
      <c r="B10" s="8" t="s">
        <v>228</v>
      </c>
      <c r="C10" s="8" t="s">
        <v>328</v>
      </c>
      <c r="D10" s="52" t="s">
        <v>329</v>
      </c>
      <c r="E10" s="53" t="n">
        <v>148.53</v>
      </c>
      <c r="F10" s="10" t="n">
        <f aca="false">IF(E10="","",$B$4-SUM($E$8:E10))</f>
        <v>506.53</v>
      </c>
    </row>
    <row r="11" customFormat="false" ht="15" hidden="false" customHeight="true" outlineLevel="0" collapsed="false">
      <c r="A11" s="67" t="n">
        <v>46250</v>
      </c>
      <c r="B11" s="68" t="s">
        <v>273</v>
      </c>
      <c r="C11" s="69" t="s">
        <v>330</v>
      </c>
      <c r="D11" s="69" t="s">
        <v>331</v>
      </c>
      <c r="E11" s="70" t="n">
        <v>47.99</v>
      </c>
      <c r="F11" s="10" t="n">
        <f aca="false">IF(E11="","",$B$4-SUM($E$8:E11))</f>
        <v>458.54</v>
      </c>
    </row>
    <row r="12" customFormat="false" ht="15" hidden="false" customHeight="true" outlineLevel="0" collapsed="false">
      <c r="A12" s="67" t="n">
        <v>46251</v>
      </c>
      <c r="B12" s="69" t="s">
        <v>204</v>
      </c>
      <c r="C12" s="69" t="s">
        <v>332</v>
      </c>
      <c r="D12" s="68" t="s">
        <v>333</v>
      </c>
      <c r="E12" s="70" t="n">
        <v>481.26</v>
      </c>
      <c r="F12" s="10" t="n">
        <f aca="false">IF(E12="","",$B$4-SUM($E$8:E12))</f>
        <v>-22.72</v>
      </c>
    </row>
    <row r="13" customFormat="false" ht="15" hidden="false" customHeight="true" outlineLevel="0" collapsed="false">
      <c r="A13" s="67"/>
      <c r="B13" s="68"/>
      <c r="C13" s="69"/>
      <c r="D13" s="69"/>
      <c r="E13" s="70"/>
      <c r="F13" s="10" t="str">
        <f aca="false">IF(E13="","",$B$4-SUM($E$8:E13))</f>
        <v/>
      </c>
    </row>
    <row r="14" customFormat="false" ht="15" hidden="false" customHeight="true" outlineLevel="0" collapsed="false">
      <c r="A14" s="67" t="n">
        <v>46244</v>
      </c>
      <c r="B14" s="69" t="s">
        <v>334</v>
      </c>
      <c r="C14" s="69" t="s">
        <v>335</v>
      </c>
      <c r="D14" s="68" t="s">
        <v>333</v>
      </c>
      <c r="E14" s="70" t="n">
        <v>40.18</v>
      </c>
      <c r="F14" s="10" t="n">
        <f aca="false">IF(E14="","",$B$4-SUM($E$8:E14))</f>
        <v>-62.9000000000001</v>
      </c>
    </row>
    <row r="15" customFormat="false" ht="15" hidden="false" customHeight="true" outlineLevel="0" collapsed="false">
      <c r="A15" s="67"/>
      <c r="B15" s="68"/>
      <c r="C15" s="69"/>
      <c r="D15" s="69"/>
      <c r="E15" s="70"/>
      <c r="F15" s="10" t="str">
        <f aca="false">IF(E15="","",$B$4-SUM($E$8:E15))</f>
        <v/>
      </c>
    </row>
    <row r="16" customFormat="false" ht="15" hidden="false" customHeight="true" outlineLevel="0" collapsed="false">
      <c r="A16" s="73"/>
      <c r="B16" s="74"/>
      <c r="C16" s="74"/>
      <c r="D16" s="74"/>
      <c r="E16" s="75"/>
      <c r="F16" s="10" t="str">
        <f aca="false">IF(E16="","",$B$4-SUM($E$8:E16))</f>
        <v/>
      </c>
    </row>
    <row r="17" customFormat="false" ht="15" hidden="false" customHeight="true" outlineLevel="0" collapsed="false">
      <c r="A17" s="73"/>
      <c r="B17" s="74"/>
      <c r="C17" s="74"/>
      <c r="D17" s="74"/>
      <c r="E17" s="75"/>
      <c r="F17" s="10" t="str">
        <f aca="false">IF(E17="","",$B$4-SUM($E$8:E17))</f>
        <v/>
      </c>
    </row>
    <row r="18" customFormat="false" ht="15" hidden="false" customHeight="true" outlineLevel="0" collapsed="false">
      <c r="A18" s="73"/>
      <c r="B18" s="74"/>
      <c r="C18" s="74"/>
      <c r="D18" s="74"/>
      <c r="E18" s="75"/>
      <c r="F18" s="10" t="str">
        <f aca="false">IF(E18="","",$B$4-SUM($E$8:E18))</f>
        <v/>
      </c>
    </row>
    <row r="19" customFormat="false" ht="15" hidden="false" customHeight="true" outlineLevel="0" collapsed="false">
      <c r="A19" s="73"/>
      <c r="B19" s="74"/>
      <c r="C19" s="74"/>
      <c r="D19" s="74"/>
      <c r="E19" s="75"/>
      <c r="F19" s="10" t="str">
        <f aca="false">IF(E19="","",$B$4-SUM($E$8:E19))</f>
        <v/>
      </c>
    </row>
    <row r="20" customFormat="false" ht="15" hidden="false" customHeight="true" outlineLevel="0" collapsed="false">
      <c r="A20" s="73"/>
      <c r="B20" s="74"/>
      <c r="C20" s="74"/>
      <c r="D20" s="74"/>
      <c r="E20" s="75"/>
      <c r="F20" s="10" t="str">
        <f aca="false">IF(E20="","",$B$4-SUM($E$8:E20))</f>
        <v/>
      </c>
    </row>
    <row r="21" customFormat="false" ht="15" hidden="false" customHeight="true" outlineLevel="0" collapsed="false">
      <c r="A21" s="73"/>
      <c r="B21" s="74"/>
      <c r="C21" s="74"/>
      <c r="D21" s="74"/>
      <c r="E21" s="75"/>
      <c r="F21" s="10" t="str">
        <f aca="false">IF(E21="","",$B$4-SUM($E$8:E21))</f>
        <v/>
      </c>
    </row>
    <row r="22" customFormat="false" ht="15" hidden="false" customHeight="true" outlineLevel="0" collapsed="false">
      <c r="A22" s="73"/>
      <c r="B22" s="74"/>
      <c r="C22" s="74"/>
      <c r="D22" s="74"/>
      <c r="E22" s="75"/>
      <c r="F22" s="10" t="str">
        <f aca="false">IF(E22="","",$B$4-SUM($E$8:E22))</f>
        <v/>
      </c>
    </row>
    <row r="23" customFormat="false" ht="15" hidden="false" customHeight="true" outlineLevel="0" collapsed="false">
      <c r="A23" s="73"/>
      <c r="B23" s="74"/>
      <c r="C23" s="74"/>
      <c r="D23" s="74"/>
      <c r="E23" s="75"/>
      <c r="F23" s="10" t="str">
        <f aca="false">IF(E23="","",$B$4-SUM($E$8:E23))</f>
        <v/>
      </c>
    </row>
    <row r="24" customFormat="false" ht="15" hidden="false" customHeight="true" outlineLevel="0" collapsed="false">
      <c r="A24" s="73"/>
      <c r="B24" s="74"/>
      <c r="C24" s="74"/>
      <c r="D24" s="74"/>
      <c r="E24" s="75"/>
      <c r="F24" s="10" t="str">
        <f aca="false">IF(E24="","",$B$4-SUM($E$8:E24))</f>
        <v/>
      </c>
    </row>
    <row r="25" customFormat="false" ht="15" hidden="false" customHeight="true" outlineLevel="0" collapsed="false">
      <c r="A25" s="73"/>
      <c r="B25" s="74"/>
      <c r="C25" s="74"/>
      <c r="D25" s="74"/>
      <c r="E25" s="75"/>
      <c r="F25" s="10" t="str">
        <f aca="false">IF(E25="","",$B$4-SUM($E$8:E25))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34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19.5" hidden="false" customHeight="true" outlineLevel="0" collapsed="false">
      <c r="A1" s="2" t="s">
        <v>336</v>
      </c>
    </row>
    <row r="2" customFormat="false" ht="15" hidden="false" customHeight="true" outlineLevel="0" collapsed="false">
      <c r="A2" s="5" t="s">
        <v>337</v>
      </c>
    </row>
    <row r="4" customFormat="false" ht="15.75" hidden="false" customHeight="true" outlineLevel="0" collapsed="false">
      <c r="A4" s="3" t="s">
        <v>338</v>
      </c>
      <c r="B4" s="71" t="n">
        <v>5000</v>
      </c>
      <c r="C4" s="3" t="s">
        <v>307</v>
      </c>
      <c r="D4" s="72" t="n">
        <f aca="false">B4-SUM(D8:D40)</f>
        <v>4519.02</v>
      </c>
    </row>
    <row r="7" customFormat="false" ht="15" hidden="false" customHeight="true" outlineLevel="0" collapsed="false">
      <c r="A7" s="6" t="s">
        <v>308</v>
      </c>
      <c r="B7" s="6" t="s">
        <v>339</v>
      </c>
      <c r="C7" s="6" t="s">
        <v>340</v>
      </c>
      <c r="D7" s="6" t="s">
        <v>312</v>
      </c>
      <c r="E7" s="6" t="s">
        <v>313</v>
      </c>
    </row>
    <row r="8" customFormat="false" ht="15" hidden="false" customHeight="true" outlineLevel="0" collapsed="false">
      <c r="A8" s="67" t="n">
        <v>46248</v>
      </c>
      <c r="B8" s="69" t="s">
        <v>341</v>
      </c>
      <c r="C8" s="69" t="s">
        <v>342</v>
      </c>
      <c r="D8" s="70" t="n">
        <v>250</v>
      </c>
      <c r="E8" s="10" t="n">
        <f aca="false">IF(D8="","",$B$4-SUM($D$8:D8))</f>
        <v>4750</v>
      </c>
    </row>
    <row r="9" customFormat="false" ht="15" hidden="false" customHeight="true" outlineLevel="0" collapsed="false">
      <c r="A9" s="67" t="n">
        <v>46251</v>
      </c>
      <c r="B9" s="69" t="s">
        <v>343</v>
      </c>
      <c r="C9" s="69" t="s">
        <v>204</v>
      </c>
      <c r="D9" s="70" t="n">
        <v>26.42</v>
      </c>
      <c r="E9" s="10" t="n">
        <f aca="false">IF(D9="","",$B$4-SUM($D$8:D9))</f>
        <v>4723.58</v>
      </c>
    </row>
    <row r="10" customFormat="false" ht="15" hidden="false" customHeight="true" outlineLevel="0" collapsed="false">
      <c r="A10" s="67" t="n">
        <v>46251</v>
      </c>
      <c r="B10" s="69" t="s">
        <v>344</v>
      </c>
      <c r="C10" s="69" t="s">
        <v>345</v>
      </c>
      <c r="D10" s="70" t="n">
        <v>62.9</v>
      </c>
      <c r="E10" s="10" t="n">
        <f aca="false">IF(D10="","",$B$4-SUM($D$8:D10))</f>
        <v>4660.68</v>
      </c>
    </row>
    <row r="11" customFormat="false" ht="15" hidden="false" customHeight="true" outlineLevel="0" collapsed="false">
      <c r="A11" s="67" t="n">
        <v>46258</v>
      </c>
      <c r="B11" s="69" t="s">
        <v>300</v>
      </c>
      <c r="C11" s="69" t="s">
        <v>346</v>
      </c>
      <c r="D11" s="70" t="n">
        <v>141.66</v>
      </c>
      <c r="E11" s="10" t="n">
        <f aca="false">IF(D11="","",$B$4-SUM($D$8:D11))</f>
        <v>4519.02</v>
      </c>
    </row>
    <row r="12" customFormat="false" ht="15" hidden="false" customHeight="true" outlineLevel="0" collapsed="false">
      <c r="A12" s="73"/>
      <c r="B12" s="74"/>
      <c r="C12" s="74"/>
      <c r="D12" s="75"/>
      <c r="E12" s="10" t="str">
        <f aca="false">IF(D12="","",$B$4-SUM($D$8:D12))</f>
        <v/>
      </c>
    </row>
    <row r="13" customFormat="false" ht="15" hidden="false" customHeight="true" outlineLevel="0" collapsed="false">
      <c r="A13" s="73"/>
      <c r="B13" s="74"/>
      <c r="C13" s="74"/>
      <c r="D13" s="75"/>
      <c r="E13" s="10" t="str">
        <f aca="false">IF(D13="","",$B$4-SUM($D$8:D13))</f>
        <v/>
      </c>
    </row>
    <row r="14" customFormat="false" ht="15" hidden="false" customHeight="true" outlineLevel="0" collapsed="false">
      <c r="A14" s="73"/>
      <c r="B14" s="74"/>
      <c r="C14" s="74"/>
      <c r="D14" s="75"/>
      <c r="E14" s="10" t="str">
        <f aca="false">IF(D14="","",$B$4-SUM($D$8:D14))</f>
        <v/>
      </c>
    </row>
    <row r="15" customFormat="false" ht="15" hidden="false" customHeight="true" outlineLevel="0" collapsed="false">
      <c r="A15" s="73"/>
      <c r="B15" s="74"/>
      <c r="C15" s="74"/>
      <c r="D15" s="75"/>
      <c r="E15" s="10" t="str">
        <f aca="false">IF(D15="","",$B$4-SUM($D$8:D15))</f>
        <v/>
      </c>
    </row>
    <row r="16" customFormat="false" ht="15" hidden="false" customHeight="true" outlineLevel="0" collapsed="false">
      <c r="A16" s="73"/>
      <c r="B16" s="74"/>
      <c r="C16" s="74"/>
      <c r="D16" s="75"/>
      <c r="E16" s="10" t="str">
        <f aca="false">IF(D16="","",$B$4-SUM($D$8:D16))</f>
        <v/>
      </c>
    </row>
    <row r="17" customFormat="false" ht="15" hidden="false" customHeight="true" outlineLevel="0" collapsed="false">
      <c r="A17" s="73"/>
      <c r="B17" s="74"/>
      <c r="C17" s="74"/>
      <c r="D17" s="75"/>
      <c r="E17" s="10" t="str">
        <f aca="false">IF(D17="","",$B$4-SUM($D$8:D17))</f>
        <v/>
      </c>
    </row>
    <row r="18" customFormat="false" ht="15" hidden="false" customHeight="true" outlineLevel="0" collapsed="false">
      <c r="A18" s="73"/>
      <c r="B18" s="74"/>
      <c r="C18" s="74"/>
      <c r="D18" s="75"/>
      <c r="E18" s="10" t="str">
        <f aca="false">IF(D18="","",$B$4-SUM($D$8:D18))</f>
        <v/>
      </c>
    </row>
    <row r="19" customFormat="false" ht="15" hidden="false" customHeight="true" outlineLevel="0" collapsed="false">
      <c r="A19" s="73"/>
      <c r="B19" s="74"/>
      <c r="C19" s="74"/>
      <c r="D19" s="75"/>
      <c r="E19" s="10" t="str">
        <f aca="false">IF(D19="","",$B$4-SUM($D$8:D19))</f>
        <v/>
      </c>
    </row>
    <row r="20" customFormat="false" ht="15" hidden="false" customHeight="true" outlineLevel="0" collapsed="false">
      <c r="A20" s="73"/>
      <c r="B20" s="74"/>
      <c r="C20" s="74"/>
      <c r="D20" s="75"/>
      <c r="E20" s="10" t="str">
        <f aca="false">IF(D20="","",$B$4-SUM($D$8:D20))</f>
        <v/>
      </c>
    </row>
    <row r="21" customFormat="false" ht="15" hidden="false" customHeight="true" outlineLevel="0" collapsed="false">
      <c r="A21" s="73"/>
      <c r="B21" s="74"/>
      <c r="C21" s="74"/>
      <c r="D21" s="75"/>
      <c r="E21" s="10" t="str">
        <f aca="false">IF(D21="","",$B$4-SUM($D$8:D21))</f>
        <v/>
      </c>
    </row>
    <row r="22" customFormat="false" ht="15" hidden="false" customHeight="true" outlineLevel="0" collapsed="false">
      <c r="A22" s="73"/>
      <c r="B22" s="74"/>
      <c r="C22" s="74"/>
      <c r="D22" s="75"/>
      <c r="E22" s="10" t="str">
        <f aca="false">IF(D22="","",$B$4-SUM($D$8:D22))</f>
        <v/>
      </c>
    </row>
    <row r="23" customFormat="false" ht="15" hidden="false" customHeight="true" outlineLevel="0" collapsed="false">
      <c r="A23" s="73"/>
      <c r="B23" s="74"/>
      <c r="C23" s="74"/>
      <c r="D23" s="75"/>
      <c r="E23" s="10" t="str">
        <f aca="false">IF(D23="","",$B$4-SUM($D$8:D23))</f>
        <v/>
      </c>
    </row>
    <row r="24" customFormat="false" ht="15" hidden="false" customHeight="true" outlineLevel="0" collapsed="false">
      <c r="A24" s="73"/>
      <c r="B24" s="74"/>
      <c r="C24" s="74"/>
      <c r="D24" s="75"/>
      <c r="E24" s="10" t="str">
        <f aca="false">IF(D24="","",$B$4-SUM($D$8:D24))</f>
        <v/>
      </c>
    </row>
    <row r="25" customFormat="false" ht="15" hidden="false" customHeight="true" outlineLevel="0" collapsed="false">
      <c r="A25" s="73"/>
      <c r="B25" s="74"/>
      <c r="C25" s="74"/>
      <c r="D25" s="75"/>
      <c r="E25" s="10" t="str">
        <f aca="false">IF(D25="","",$B$4-SUM($D$8:D25))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2026-07-13T22:53:36Z</dcterms:created>
  <dc:creator>openpyxl</dc:creator>
  <dc:description/>
  <dc:language>en-US</dc:language>
  <cp:lastModifiedBy/>
  <dcterms:modified xsi:type="dcterms:W3CDTF">2026-09-04T15:18:22Z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